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si\Downloads\Gestion\Gestion_DEV\Resources\books\"/>
    </mc:Choice>
  </mc:AlternateContent>
  <xr:revisionPtr revIDLastSave="0" documentId="13_ncr:1_{36F0004F-5F5B-4737-B046-D33E7C7F10B2}" xr6:coauthVersionLast="47" xr6:coauthVersionMax="47" xr10:uidLastSave="{00000000-0000-0000-0000-000000000000}"/>
  <bookViews>
    <workbookView visibility="hidden" xWindow="-108" yWindow="-108" windowWidth="23256" windowHeight="12456" xr2:uid="{00000000-000D-0000-FFFF-FFFF00000000}"/>
  </bookViews>
  <sheets>
    <sheet name="Inicio" sheetId="5" r:id="rId1"/>
    <sheet name="Inventario" sheetId="1" state="hidden" r:id="rId2"/>
    <sheet name="Clientes" sheetId="2" state="hidden" r:id="rId3"/>
    <sheet name="Correlativos" sheetId="6" state="hidden" r:id="rId4"/>
    <sheet name="Cajas" sheetId="7" state="hidden" r:id="rId5"/>
  </sheets>
  <externalReferences>
    <externalReference r:id="rId6"/>
    <externalReference r:id="rId7"/>
  </externalReferences>
  <definedNames>
    <definedName name="_xlnm._FilterDatabase" localSheetId="2" hidden="1">'Clientes'!$A$1:$I$44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" i="2" l="1"/>
  <c r="M15" i="2" s="1"/>
  <c r="I28" i="2" l="1"/>
  <c r="M28" i="2" s="1"/>
  <c r="I11" i="2"/>
  <c r="M11" i="2" s="1"/>
  <c r="I8" i="2" l="1"/>
  <c r="M8" i="2" s="1"/>
  <c r="I24" i="2" l="1"/>
  <c r="M24" i="2" s="1"/>
  <c r="G40" i="1" l="1"/>
  <c r="J40" i="1" s="1"/>
  <c r="I40" i="1"/>
  <c r="K40" i="1" s="1"/>
  <c r="G38" i="1"/>
  <c r="J38" i="1" s="1"/>
  <c r="I38" i="1"/>
  <c r="K38" i="1" s="1"/>
  <c r="G12" i="1"/>
  <c r="J12" i="1" s="1"/>
  <c r="I12" i="1"/>
  <c r="K12" i="1" s="1"/>
  <c r="G16" i="1"/>
  <c r="J16" i="1" s="1"/>
  <c r="I16" i="1"/>
  <c r="K16" i="1" s="1"/>
  <c r="G17" i="1"/>
  <c r="J17" i="1" s="1"/>
  <c r="I17" i="1"/>
  <c r="K17" i="1" s="1"/>
  <c r="G29" i="1"/>
  <c r="J29" i="1" s="1"/>
  <c r="I29" i="1"/>
  <c r="K29" i="1" s="1"/>
  <c r="G13" i="1"/>
  <c r="J13" i="1" s="1"/>
  <c r="I13" i="1"/>
  <c r="K13" i="1" s="1"/>
  <c r="I31" i="2" l="1"/>
  <c r="M31" i="2" s="1"/>
  <c r="I10" i="2"/>
  <c r="M10" i="2" s="1"/>
  <c r="I44" i="2" l="1"/>
  <c r="I43" i="2"/>
  <c r="I42" i="2"/>
  <c r="I41" i="2"/>
  <c r="I40" i="2"/>
  <c r="I39" i="2"/>
  <c r="I38" i="2"/>
  <c r="I37" i="2"/>
  <c r="I36" i="2"/>
  <c r="I35" i="2"/>
  <c r="I34" i="2"/>
  <c r="I33" i="2"/>
  <c r="I32" i="2"/>
  <c r="I30" i="2"/>
  <c r="I29" i="2"/>
  <c r="I27" i="2"/>
  <c r="I26" i="2"/>
  <c r="I25" i="2"/>
  <c r="I23" i="2"/>
  <c r="I22" i="2"/>
  <c r="I21" i="2"/>
  <c r="I20" i="2"/>
  <c r="I19" i="2"/>
  <c r="I18" i="2"/>
  <c r="I17" i="2"/>
  <c r="I16" i="2"/>
  <c r="I13" i="2"/>
  <c r="I12" i="2"/>
  <c r="I9" i="2"/>
  <c r="I7" i="2"/>
  <c r="I5" i="2"/>
  <c r="I4" i="2"/>
  <c r="I3" i="2"/>
  <c r="I2" i="2"/>
  <c r="I6" i="2" l="1"/>
  <c r="M41" i="2" l="1"/>
  <c r="M26" i="2" l="1"/>
  <c r="M40" i="2"/>
  <c r="M25" i="2" l="1"/>
  <c r="M2" i="2"/>
  <c r="G31" i="1" l="1"/>
  <c r="J31" i="1" s="1"/>
  <c r="I31" i="1"/>
  <c r="K31" i="1" s="1"/>
  <c r="G9" i="1"/>
  <c r="J9" i="1" s="1"/>
  <c r="I9" i="1"/>
  <c r="K9" i="1" s="1"/>
  <c r="G3" i="1"/>
  <c r="J3" i="1" s="1"/>
  <c r="I3" i="1"/>
  <c r="K3" i="1" s="1"/>
  <c r="G24" i="1" l="1"/>
  <c r="J24" i="1" s="1"/>
  <c r="I24" i="1"/>
  <c r="K24" i="1" s="1"/>
  <c r="M17" i="2" l="1"/>
  <c r="M20" i="2"/>
  <c r="M44" i="2"/>
  <c r="M36" i="2"/>
  <c r="M33" i="2"/>
  <c r="M27" i="2"/>
  <c r="M7" i="2"/>
  <c r="M23" i="2"/>
  <c r="M38" i="2"/>
  <c r="M43" i="2"/>
  <c r="M13" i="2"/>
  <c r="M5" i="2"/>
  <c r="M37" i="2"/>
  <c r="M9" i="2"/>
  <c r="M21" i="2"/>
  <c r="M4" i="2"/>
  <c r="M34" i="2"/>
  <c r="M6" i="2"/>
  <c r="M16" i="2"/>
  <c r="M39" i="2"/>
  <c r="M18" i="2"/>
  <c r="M30" i="2"/>
  <c r="M29" i="2"/>
  <c r="M42" i="2"/>
  <c r="M19" i="2"/>
  <c r="M32" i="2"/>
  <c r="M12" i="2"/>
  <c r="M3" i="2"/>
  <c r="M35" i="2"/>
  <c r="M22" i="2"/>
  <c r="G4" i="1" l="1"/>
  <c r="J4" i="1" s="1"/>
  <c r="G5" i="1"/>
  <c r="J5" i="1" s="1"/>
  <c r="G6" i="1"/>
  <c r="G7" i="1"/>
  <c r="J7" i="1" s="1"/>
  <c r="G8" i="1"/>
  <c r="J8" i="1" s="1"/>
  <c r="G10" i="1"/>
  <c r="J10" i="1" s="1"/>
  <c r="G11" i="1"/>
  <c r="J11" i="1" s="1"/>
  <c r="G14" i="1"/>
  <c r="J14" i="1" s="1"/>
  <c r="G15" i="1"/>
  <c r="J15" i="1" s="1"/>
  <c r="G18" i="1"/>
  <c r="J18" i="1" s="1"/>
  <c r="G19" i="1"/>
  <c r="G20" i="1"/>
  <c r="J20" i="1" s="1"/>
  <c r="G21" i="1"/>
  <c r="J21" i="1" s="1"/>
  <c r="G22" i="1"/>
  <c r="J22" i="1" s="1"/>
  <c r="G23" i="1"/>
  <c r="J23" i="1" s="1"/>
  <c r="G25" i="1"/>
  <c r="J25" i="1" s="1"/>
  <c r="G26" i="1"/>
  <c r="J26" i="1" s="1"/>
  <c r="G27" i="1"/>
  <c r="J27" i="1" s="1"/>
  <c r="G28" i="1"/>
  <c r="J28" i="1" s="1"/>
  <c r="G30" i="1"/>
  <c r="J30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9" i="1"/>
  <c r="J39" i="1" s="1"/>
  <c r="I4" i="1"/>
  <c r="K4" i="1" s="1"/>
  <c r="I5" i="1"/>
  <c r="K5" i="1" s="1"/>
  <c r="I6" i="1"/>
  <c r="K6" i="1" s="1"/>
  <c r="I7" i="1"/>
  <c r="K7" i="1" s="1"/>
  <c r="I8" i="1"/>
  <c r="K8" i="1" s="1"/>
  <c r="I10" i="1"/>
  <c r="K10" i="1" s="1"/>
  <c r="I11" i="1"/>
  <c r="K11" i="1" s="1"/>
  <c r="I14" i="1"/>
  <c r="K14" i="1" s="1"/>
  <c r="I15" i="1"/>
  <c r="K15" i="1" s="1"/>
  <c r="I18" i="1"/>
  <c r="K18" i="1" s="1"/>
  <c r="I19" i="1"/>
  <c r="K19" i="1" s="1"/>
  <c r="I20" i="1"/>
  <c r="K20" i="1" s="1"/>
  <c r="I21" i="1"/>
  <c r="K21" i="1" s="1"/>
  <c r="I22" i="1"/>
  <c r="K22" i="1" s="1"/>
  <c r="I23" i="1"/>
  <c r="K23" i="1" s="1"/>
  <c r="I25" i="1"/>
  <c r="K25" i="1" s="1"/>
  <c r="I26" i="1"/>
  <c r="K26" i="1" s="1"/>
  <c r="I27" i="1"/>
  <c r="K27" i="1" s="1"/>
  <c r="I28" i="1"/>
  <c r="K28" i="1" s="1"/>
  <c r="I30" i="1"/>
  <c r="K30" i="1" s="1"/>
  <c r="I32" i="1"/>
  <c r="K32" i="1" s="1"/>
  <c r="I33" i="1"/>
  <c r="K33" i="1" s="1"/>
  <c r="I34" i="1"/>
  <c r="K34" i="1" s="1"/>
  <c r="I35" i="1"/>
  <c r="K35" i="1" s="1"/>
  <c r="I36" i="1"/>
  <c r="K36" i="1" s="1"/>
  <c r="I37" i="1"/>
  <c r="K37" i="1" s="1"/>
  <c r="I39" i="1"/>
  <c r="K39" i="1" s="1"/>
  <c r="J6" i="1"/>
  <c r="J19" i="1"/>
  <c r="M14" i="2" l="1"/>
  <c r="G2" i="1" l="1"/>
  <c r="J2" i="1" s="1"/>
  <c r="I2" i="1" l="1"/>
  <c r="K2" i="1" s="1"/>
  <c r="O1" i="1" s="1"/>
</calcChain>
</file>

<file path=xl/sharedStrings.xml><?xml version="1.0" encoding="utf-8"?>
<sst xmlns="http://schemas.openxmlformats.org/spreadsheetml/2006/main" count="411" uniqueCount="261">
  <si>
    <t>Producto</t>
  </si>
  <si>
    <t>Presentacion por unidad</t>
  </si>
  <si>
    <t>900 ml</t>
  </si>
  <si>
    <t>1 kg</t>
  </si>
  <si>
    <t>250 g</t>
  </si>
  <si>
    <t>500 g</t>
  </si>
  <si>
    <t>15 g</t>
  </si>
  <si>
    <t>50 kg</t>
  </si>
  <si>
    <t>85 g</t>
  </si>
  <si>
    <t>400 g</t>
  </si>
  <si>
    <t>3 kg</t>
  </si>
  <si>
    <t>180 g</t>
  </si>
  <si>
    <t>90 g</t>
  </si>
  <si>
    <t>Cantidad de unidades por bulto</t>
  </si>
  <si>
    <t>Costo por bulto (R$)</t>
  </si>
  <si>
    <t>Precio por bulto ($)</t>
  </si>
  <si>
    <t>Aceite Concordia</t>
  </si>
  <si>
    <t>Nombre</t>
  </si>
  <si>
    <t>Direccion</t>
  </si>
  <si>
    <t>Telefono</t>
  </si>
  <si>
    <t>ID</t>
  </si>
  <si>
    <t>Precio</t>
  </si>
  <si>
    <t>Codigo</t>
  </si>
  <si>
    <t>Existencia</t>
  </si>
  <si>
    <t>V-00000000</t>
  </si>
  <si>
    <t>0000-0000000</t>
  </si>
  <si>
    <t>Contado</t>
  </si>
  <si>
    <t>S/D</t>
  </si>
  <si>
    <t>V-25017131</t>
  </si>
  <si>
    <t>Credito</t>
  </si>
  <si>
    <t>Consignacion</t>
  </si>
  <si>
    <t>Limite Credito</t>
  </si>
  <si>
    <t>Saldo Credito</t>
  </si>
  <si>
    <t>V-10553146</t>
  </si>
  <si>
    <t>0001</t>
  </si>
  <si>
    <t>ID-2</t>
  </si>
  <si>
    <t>ID-1</t>
  </si>
  <si>
    <t>Prefijo</t>
  </si>
  <si>
    <t>Costo</t>
  </si>
  <si>
    <t>Bolivares en transferencia en posesion de Rodolfo</t>
  </si>
  <si>
    <t>VES-RODOLFO</t>
  </si>
  <si>
    <t>Bolivares en transferencia en posesion de Deibys</t>
  </si>
  <si>
    <t>VES-DEIBYS</t>
  </si>
  <si>
    <t>Bolivares en transferencia en posesion de Corina</t>
  </si>
  <si>
    <t>VES-CORINA</t>
  </si>
  <si>
    <t>Dolares en efectivo en posesion de Rodolfo</t>
  </si>
  <si>
    <t>USD-RODOLFO</t>
  </si>
  <si>
    <t>Dolares en efectivo en posesion de Deibys</t>
  </si>
  <si>
    <t>USD-DEIBYS</t>
  </si>
  <si>
    <t>Dolares en efectivo en posesion de Corina</t>
  </si>
  <si>
    <t>USD-CORINA</t>
  </si>
  <si>
    <t>Reais en efectivo en posesion de Rodolfo</t>
  </si>
  <si>
    <t>BRL-RODOLFO</t>
  </si>
  <si>
    <t>Reais en efectivo en posesion de Deibys</t>
  </si>
  <si>
    <t>BRL-DEIBYS</t>
  </si>
  <si>
    <t>Reais en efectivo en posesion de Corina</t>
  </si>
  <si>
    <t>BRL-CORINA</t>
  </si>
  <si>
    <t>Saldo</t>
  </si>
  <si>
    <t>ID Caja</t>
  </si>
  <si>
    <t>ID Responsable Caja</t>
  </si>
  <si>
    <t>V-25081137</t>
  </si>
  <si>
    <t>Importe Costo</t>
  </si>
  <si>
    <t>Importe Precio</t>
  </si>
  <si>
    <t>Saldo Consignacion</t>
  </si>
  <si>
    <t>Deuda Total</t>
  </si>
  <si>
    <t>Prestamo Bs</t>
  </si>
  <si>
    <t>Prestamo R$</t>
  </si>
  <si>
    <t>Prestamo $</t>
  </si>
  <si>
    <t>MOD</t>
  </si>
  <si>
    <t>DEV</t>
  </si>
  <si>
    <t>REC-INV</t>
  </si>
  <si>
    <t>COM-CDT</t>
  </si>
  <si>
    <t>COM-CTD</t>
  </si>
  <si>
    <t>DES-INV</t>
  </si>
  <si>
    <t>VTA-CDT</t>
  </si>
  <si>
    <t>VTA-CTD</t>
  </si>
  <si>
    <t>PGO-CDT</t>
  </si>
  <si>
    <t>REG</t>
  </si>
  <si>
    <t>PGO-CSN</t>
  </si>
  <si>
    <t>VTA-CSN</t>
  </si>
  <si>
    <t>COM-CSN</t>
  </si>
  <si>
    <t>MTO-CJA</t>
  </si>
  <si>
    <t>PMO</t>
  </si>
  <si>
    <t>Leyenda</t>
  </si>
  <si>
    <t>Venta de Contado</t>
  </si>
  <si>
    <t>Venta a Credito</t>
  </si>
  <si>
    <t>Venta a Consignacion</t>
  </si>
  <si>
    <t>Compra de Contado</t>
  </si>
  <si>
    <t>Compra a Consignacion</t>
  </si>
  <si>
    <t>Compra a Credito</t>
  </si>
  <si>
    <t>Pago de Credito</t>
  </si>
  <si>
    <t>Pago de Consignacion</t>
  </si>
  <si>
    <t>Recargo de Inventario</t>
  </si>
  <si>
    <t>Descargo de Inventario</t>
  </si>
  <si>
    <t>Devolucion</t>
  </si>
  <si>
    <t>Modificacion</t>
  </si>
  <si>
    <t>Movimiento de Caja</t>
  </si>
  <si>
    <t>Prestamo</t>
  </si>
  <si>
    <t>Registro</t>
  </si>
  <si>
    <t>EXT</t>
  </si>
  <si>
    <t>Extras</t>
  </si>
  <si>
    <t>Arroz Tipo 1 Blue Vale (30x1kg)</t>
  </si>
  <si>
    <t>Arroz Tipo 1 Faccio (30x1kg)</t>
  </si>
  <si>
    <t>Arroz Tipo 1 Fazenda (30x1kg)</t>
  </si>
  <si>
    <t>Arroz Tipo 1 Tio Ivo (30x1kg)</t>
  </si>
  <si>
    <t>Azucar Doce Dia (30x1kg)</t>
  </si>
  <si>
    <t>Cafe Marata (20x250g)</t>
  </si>
  <si>
    <t>Calabresa Carré (1x2,5kg)</t>
  </si>
  <si>
    <t>Colgate (12x180g)</t>
  </si>
  <si>
    <t>Colgate (12x90g)</t>
  </si>
  <si>
    <t>Detergente en Polvo Ben-Te-Vi (26x500g)</t>
  </si>
  <si>
    <t>Fructus (8x15 sobres)</t>
  </si>
  <si>
    <t>Garoto (30x300g)</t>
  </si>
  <si>
    <t>Harina de Trigo Dona Maria (10x1kg)</t>
  </si>
  <si>
    <t>Harina de Trigo Dona Maria Panadera (50kg)</t>
  </si>
  <si>
    <t>Jabon Flamengo (10x1kg)</t>
  </si>
  <si>
    <t>Jabon Palmolive (12x85g)</t>
  </si>
  <si>
    <t>Leche en Polvo Do Bom (25x400g)</t>
  </si>
  <si>
    <t>Levadura Mauri (20x500g)</t>
  </si>
  <si>
    <t>Mantequilla Deline (24x250g)</t>
  </si>
  <si>
    <t>Mantequilla Primor (24x250g)</t>
  </si>
  <si>
    <t>Mortadela de Carne Carré (1x3kg)</t>
  </si>
  <si>
    <t>Mortadela de Pollo Aurora (1x2,5)</t>
  </si>
  <si>
    <t>Mortadela de Pollo Carré (1x3kg)</t>
  </si>
  <si>
    <t>Mortadela de Pollo Millennium (10x500g)</t>
  </si>
  <si>
    <t>Sal (30x1kg)</t>
  </si>
  <si>
    <t>Salchicha Hot Dog Perdigao (1x5kg)</t>
  </si>
  <si>
    <t>Sardina Marbonita (24x170g)</t>
  </si>
  <si>
    <t>5 kg</t>
  </si>
  <si>
    <t>2.5 kg</t>
  </si>
  <si>
    <t>170 g</t>
  </si>
  <si>
    <t>300 g</t>
  </si>
  <si>
    <t>V-10000001</t>
  </si>
  <si>
    <t>Glendys</t>
  </si>
  <si>
    <t>PZO</t>
  </si>
  <si>
    <t>V-10000002</t>
  </si>
  <si>
    <t>Nestor</t>
  </si>
  <si>
    <t>V-10000003</t>
  </si>
  <si>
    <t>Alex Rodriguez</t>
  </si>
  <si>
    <t>V-10000004</t>
  </si>
  <si>
    <t>Carlos Unare</t>
  </si>
  <si>
    <t>V-10000005</t>
  </si>
  <si>
    <t>Mini Market Dana</t>
  </si>
  <si>
    <t>V-10000006</t>
  </si>
  <si>
    <t>El Toro Bravo</t>
  </si>
  <si>
    <t>V-10000007</t>
  </si>
  <si>
    <t>Ruber</t>
  </si>
  <si>
    <t>V-10000008</t>
  </si>
  <si>
    <t>Luis Viera</t>
  </si>
  <si>
    <t>V-10000009</t>
  </si>
  <si>
    <t>Mama de Deibys</t>
  </si>
  <si>
    <t>V-10000010</t>
  </si>
  <si>
    <t>Deibys Cardenas</t>
  </si>
  <si>
    <t>0412-0879770</t>
  </si>
  <si>
    <t>Rodolfo Marsili</t>
  </si>
  <si>
    <t>0414-8932216</t>
  </si>
  <si>
    <t>Corina Bolivar</t>
  </si>
  <si>
    <t>Upata</t>
  </si>
  <si>
    <t>0414-8692261</t>
  </si>
  <si>
    <t>V-10000011</t>
  </si>
  <si>
    <t>Alfonzo</t>
  </si>
  <si>
    <t>V-10000012</t>
  </si>
  <si>
    <t>Nancy</t>
  </si>
  <si>
    <t>V-10000013</t>
  </si>
  <si>
    <t>Alexander</t>
  </si>
  <si>
    <t>V-10000014</t>
  </si>
  <si>
    <t>Gerardo</t>
  </si>
  <si>
    <t>V-10000015</t>
  </si>
  <si>
    <t>Audio Adrianza</t>
  </si>
  <si>
    <t>V-10000016</t>
  </si>
  <si>
    <t>Osladys</t>
  </si>
  <si>
    <t>V-10000017</t>
  </si>
  <si>
    <t>Alexis</t>
  </si>
  <si>
    <t>V-10000018</t>
  </si>
  <si>
    <t>Christian</t>
  </si>
  <si>
    <t>V-10000019</t>
  </si>
  <si>
    <t>Yan</t>
  </si>
  <si>
    <t>V-10000020</t>
  </si>
  <si>
    <t>Ricardo</t>
  </si>
  <si>
    <t>V-10000021</t>
  </si>
  <si>
    <t>Inversiones Piar</t>
  </si>
  <si>
    <t>V-10000022</t>
  </si>
  <si>
    <t>Ander</t>
  </si>
  <si>
    <t>V-10000023</t>
  </si>
  <si>
    <t>La Granja</t>
  </si>
  <si>
    <t>V-10000024</t>
  </si>
  <si>
    <t>Morhaima</t>
  </si>
  <si>
    <t>V-10000025</t>
  </si>
  <si>
    <t>Oscar</t>
  </si>
  <si>
    <t>V-10000026</t>
  </si>
  <si>
    <t>Ydderf</t>
  </si>
  <si>
    <t>V-10000027</t>
  </si>
  <si>
    <t>Enrique Bolivar</t>
  </si>
  <si>
    <t>V-10000028</t>
  </si>
  <si>
    <t>Darwin Figuera</t>
  </si>
  <si>
    <t>0424-9728609</t>
  </si>
  <si>
    <t>Inicial</t>
  </si>
  <si>
    <t>Jabon Jamary</t>
  </si>
  <si>
    <t>1 Jabon</t>
  </si>
  <si>
    <t>Credito Inicial</t>
  </si>
  <si>
    <t>Prestamo Inicial $</t>
  </si>
  <si>
    <t>Prestamo Inicial R$</t>
  </si>
  <si>
    <t>1 brazo</t>
  </si>
  <si>
    <t>Inventario Inicial</t>
  </si>
  <si>
    <t>Importe Total:</t>
  </si>
  <si>
    <t>0004</t>
  </si>
  <si>
    <t>Aceite Soya (20x900ml)</t>
  </si>
  <si>
    <t>Azucar Itajá (30x1kg)</t>
  </si>
  <si>
    <t>Mayonesa Quero (24x200g)</t>
  </si>
  <si>
    <t>200 g</t>
  </si>
  <si>
    <t>V-10000029</t>
  </si>
  <si>
    <t>Adriana</t>
  </si>
  <si>
    <t>V-10000030</t>
  </si>
  <si>
    <t>Jesus Rodriguez</t>
  </si>
  <si>
    <t>V-10000031</t>
  </si>
  <si>
    <t>Ronald</t>
  </si>
  <si>
    <t>V-10000032</t>
  </si>
  <si>
    <t>Joao</t>
  </si>
  <si>
    <t>V-22818980</t>
  </si>
  <si>
    <t>Ronegdy Suarez</t>
  </si>
  <si>
    <t>0412-1120947</t>
  </si>
  <si>
    <t>0003</t>
  </si>
  <si>
    <t>V-10000033</t>
  </si>
  <si>
    <t>Aurelia</t>
  </si>
  <si>
    <t>POZ</t>
  </si>
  <si>
    <t>Cigarros Zen (10x20 unidades)</t>
  </si>
  <si>
    <t>1 caja</t>
  </si>
  <si>
    <t>Mantequilla Medalha De Ouro (1x15kg)</t>
  </si>
  <si>
    <t>15 kg</t>
  </si>
  <si>
    <t>Corote Limon (12x500ml)</t>
  </si>
  <si>
    <t>500 ml</t>
  </si>
  <si>
    <t>Corote Blueberry (12x500ml)</t>
  </si>
  <si>
    <t>Calabresa Seara (1x2.5kg)</t>
  </si>
  <si>
    <t>Salchichas Hot Dog Rezende (1x5kg)</t>
  </si>
  <si>
    <t>Shampoo Sin Sal Palmolive Neutro (6x350ml)</t>
  </si>
  <si>
    <t>350 ml</t>
  </si>
  <si>
    <t>V-10000034</t>
  </si>
  <si>
    <t>Marilu</t>
  </si>
  <si>
    <t>Las Claritas</t>
  </si>
  <si>
    <t>V-10000035</t>
  </si>
  <si>
    <t>Javier</t>
  </si>
  <si>
    <t>V-10000036</t>
  </si>
  <si>
    <t>Anibal</t>
  </si>
  <si>
    <t>J-100000001</t>
  </si>
  <si>
    <t>Bodegon De Sire</t>
  </si>
  <si>
    <t>V-10000037</t>
  </si>
  <si>
    <t>Luigi Marsili</t>
  </si>
  <si>
    <t>Chile</t>
  </si>
  <si>
    <t>V-10000038</t>
  </si>
  <si>
    <t>Coraspe</t>
  </si>
  <si>
    <t>0023</t>
  </si>
  <si>
    <t>0041</t>
  </si>
  <si>
    <t>0026</t>
  </si>
  <si>
    <t>0034</t>
  </si>
  <si>
    <t>Ultima Transaccion</t>
  </si>
  <si>
    <t>0008</t>
  </si>
  <si>
    <t>0016</t>
  </si>
  <si>
    <t>0058</t>
  </si>
  <si>
    <t>0014</t>
  </si>
  <si>
    <t>0094</t>
  </si>
  <si>
    <t>0077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</si>
</sst>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_-[$$-540A]* #,##0.00_ ;_-[$$-540A]* \-#,##0.00\ ;_-[$$-540A]* &quot;-&quot;??_ ;_-@_ "/>
    <numFmt numFmtId="167" formatCode="_ [$Bs.S-200A]* #,##0.00_ ;_ [$Bs.S-200A]* \-#,##0.00_ ;_ [$Bs.S-200A]* &quot;-&quot;??_ ;_ @_ "/>
    <numFmt numFmtId="168" formatCode="_-[$R$]\ * #,##0.00_-;[$R$]\ * \-#,##0.00_-;_-[$R$]\ * &quot;-&quot;??_-;_-@_-"/>
    <numFmt numFmtId="169" formatCode="_-[$$]\ * #,##0.00_-;[$$]\ * \-#,##0.00_-;_-[$$]\ * &quot;-&quot;??_-;_-@_-"/>
    <numFmt numFmtId="170" formatCode="_-[$Bs]\ * #,##0.00_-;[$Bs]\ * \-#,##0.00_-;_-[$Bs]\ * &quot;-&quot;??_-;_-@_-"/>
    <numFmt numFmtId="171" formatCode="_-[$$-409]* #,##0.000_ ;_-[$$-409]* \-#,##0.000\ ;_-[$$-409]* &quot;-&quot;??_ ;_-@_ 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2"/>
    </font>
    <font>
      <sz val="12"/>
      <color theme="1"/>
      <name val="Times New Roman"/>
      <family val="1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9" fillId="0" borderId="0" applyFont="0" applyFill="0" applyBorder="0" applyAlignment="0" applyProtection="0"/>
    <xf numFmtId="0" fontId="11" fillId="0" borderId="0"/>
    <xf numFmtId="0" fontId="8" fillId="0" borderId="0"/>
  </cellStyleXfs>
  <cellXfs count="52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65" fontId="0" fillId="0" borderId="0" xfId="1" applyNumberFormat="1" applyFont="1"/>
    <xf numFmtId="166" fontId="0" fillId="0" borderId="0" xfId="0" applyNumberFormat="1" applyAlignment="1">
      <alignment horizontal="center" vertical="center"/>
    </xf>
    <xf numFmtId="0" fontId="11" fillId="0" borderId="0" xfId="2" applyAlignment="1">
      <alignment vertical="center"/>
    </xf>
    <xf numFmtId="49" fontId="11" fillId="0" borderId="0" xfId="2" applyNumberFormat="1" applyAlignment="1">
      <alignment horizontal="center" vertical="center"/>
    </xf>
    <xf numFmtId="0" fontId="11" fillId="0" borderId="0" xfId="2" applyAlignment="1">
      <alignment horizontal="center" vertical="center"/>
    </xf>
    <xf numFmtId="0" fontId="8" fillId="0" borderId="0" xfId="2" applyFont="1" applyAlignment="1">
      <alignment vertical="center"/>
    </xf>
    <xf numFmtId="0" fontId="8" fillId="0" borderId="0" xfId="3" applyAlignment="1">
      <alignment vertical="center"/>
    </xf>
    <xf numFmtId="0" fontId="8" fillId="0" borderId="0" xfId="3" applyAlignment="1">
      <alignment horizontal="right" vertical="center"/>
    </xf>
    <xf numFmtId="0" fontId="8" fillId="0" borderId="0" xfId="3" applyAlignment="1">
      <alignment horizontal="center" vertical="center"/>
    </xf>
    <xf numFmtId="167" fontId="8" fillId="0" borderId="0" xfId="3" applyNumberFormat="1" applyAlignment="1">
      <alignment horizontal="right" vertical="center"/>
    </xf>
    <xf numFmtId="165" fontId="8" fillId="0" borderId="0" xfId="3" applyNumberFormat="1" applyAlignment="1">
      <alignment horizontal="right" vertical="center"/>
    </xf>
    <xf numFmtId="0" fontId="7" fillId="0" borderId="0" xfId="2" applyFont="1" applyAlignment="1">
      <alignment vertical="center"/>
    </xf>
    <xf numFmtId="0" fontId="0" fillId="2" borderId="0" xfId="0" applyFill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0" xfId="2" applyFont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6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/>
    </xf>
    <xf numFmtId="0" fontId="3" fillId="0" borderId="0" xfId="2" applyFont="1" applyAlignment="1">
      <alignment horizontal="left" vertical="center"/>
    </xf>
    <xf numFmtId="168" fontId="8" fillId="0" borderId="0" xfId="3" applyNumberFormat="1" applyAlignment="1">
      <alignment horizontal="right" vertical="center"/>
    </xf>
    <xf numFmtId="168" fontId="0" fillId="0" borderId="0" xfId="0" applyNumberFormat="1" applyAlignment="1">
      <alignment horizontal="center" vertical="center"/>
    </xf>
    <xf numFmtId="168" fontId="0" fillId="0" borderId="0" xfId="0" applyNumberFormat="1"/>
    <xf numFmtId="0" fontId="0" fillId="0" borderId="0" xfId="1" applyNumberFormat="1" applyFont="1" applyFill="1" applyBorder="1" applyAlignment="1">
      <alignment horizontal="left" vertical="center"/>
    </xf>
    <xf numFmtId="49" fontId="2" fillId="0" borderId="0" xfId="2" applyNumberFormat="1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right" vertical="center"/>
    </xf>
    <xf numFmtId="165" fontId="0" fillId="0" borderId="0" xfId="1" applyNumberFormat="1" applyFont="1" applyAlignment="1">
      <alignment horizontal="center" vertical="center"/>
    </xf>
    <xf numFmtId="168" fontId="0" fillId="0" borderId="0" xfId="0" applyNumberFormat="1" applyAlignment="1">
      <alignment horizontal="right" vertical="center"/>
    </xf>
    <xf numFmtId="169" fontId="0" fillId="0" borderId="0" xfId="0" applyNumberFormat="1" applyAlignment="1">
      <alignment horizontal="right" vertical="center"/>
    </xf>
    <xf numFmtId="2" fontId="8" fillId="0" borderId="0" xfId="3" applyNumberFormat="1" applyAlignment="1">
      <alignment vertical="center"/>
    </xf>
    <xf numFmtId="0" fontId="1" fillId="0" borderId="0" xfId="3" applyFon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1" applyNumberFormat="1" applyFont="1" applyBorder="1" applyAlignment="1">
      <alignment horizontal="left" vertical="center"/>
    </xf>
    <xf numFmtId="0" fontId="0" fillId="4" borderId="1" xfId="1" applyNumberFormat="1" applyFont="1" applyFill="1" applyBorder="1" applyAlignment="1">
      <alignment horizontal="left" vertical="center"/>
    </xf>
    <xf numFmtId="171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13" fillId="3" borderId="0" xfId="0" applyNumberFormat="1" applyFont="1" applyFill="1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4">
    <cellStyle name="Currency" xfId="1" builtinId="4"/>
    <cellStyle name="Normal" xfId="0" builtinId="0"/>
    <cellStyle name="Normal 2" xfId="2" xr:uid="{00000000-0005-0000-0000-000002000000}"/>
    <cellStyle name="Normal 3" xfId="3" xr:uid="{3CE71524-F0D5-4D48-8466-DD9E2738AA90}"/>
  </cellStyles>
  <dxfs count="37"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numFmt numFmtId="166" formatCode="_-[$$-540A]* #,##0.00_ ;_-[$$-540A]* \-#,##0.00\ ;_-[$$-540A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[$$-540A]* #,##0.00_ ;_-[$$-540A]* \-#,##0.00\ ;_-[$$-540A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[$$-540A]* #,##0.00_ ;_-[$$-540A]* \-#,##0.00\ ;_-[$$-540A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[$$-540A]* #,##0.00_ ;_-[$$-540A]* \-#,##0.00\ ;_-[$$-540A]* &quot;-&quot;??_ ;_-@_ "/>
      <alignment horizontal="center" vertical="center" textRotation="0" wrapText="0" indent="0" justifyLastLine="0" shrinkToFit="0" readingOrder="0"/>
    </dxf>
    <dxf>
      <numFmt numFmtId="166" formatCode="_-[$$-540A]* #,##0.00_ ;_-[$$-540A]* \-#,##0.00\ ;_-[$$-540A]* &quot;-&quot;??_ ;_-@_ "/>
      <alignment horizontal="center" vertical="center" textRotation="0" wrapText="0" indent="0" justifyLastLine="0" shrinkToFit="0" readingOrder="0"/>
    </dxf>
    <dxf>
      <numFmt numFmtId="166" formatCode="_-[$$-540A]* #,##0.00_ ;_-[$$-540A]* \-#,##0.00\ ;_-[$$-540A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[$$-540A]* #,##0.00_ ;_-[$$-540A]* \-#,##0.00\ ;_-[$$-540A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vertical="center" textRotation="0" wrapText="0" indent="0" justifyLastLine="0" shrinkToFit="0" readingOrder="0"/>
    </dxf>
    <dxf>
      <numFmt numFmtId="168" formatCode="_-[$R$]\ * #,##0.00_-;[$R$]\ * \-#,##0.00_-;_-[$R$]\ * &quot;-&quot;??_-;_-@_-"/>
      <alignment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168" formatCode="_-[$R$]\ * #,##0.00_-;[$R$]\ * \-#,##0.00_-;_-[$R$]\ * &quot;-&quot;??_-;_-@_-"/>
    </dxf>
    <dxf>
      <numFmt numFmtId="172" formatCode="_-[$BRL]\ * #,##0.00_-;\-[$BRL]\ * #,##0.00_-;_-[$BRL]\ * &quot;-&quot;??_-;_-@_-"/>
      <alignment horizontal="right" vertical="center" textRotation="0" wrapText="0" indent="0" justifyLastLine="0" shrinkToFit="0" readingOrder="0"/>
    </dxf>
    <dxf>
      <numFmt numFmtId="1" formatCode="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9" tint="0.39997558519241921"/>
        </patternFill>
      </fill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lient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dolfo/Desktop/Gestion/Ges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V-10000038"/>
      <sheetName val="V-10000037"/>
      <sheetName val="J-100000001"/>
      <sheetName val="V-10000036"/>
      <sheetName val="V-10000035"/>
      <sheetName val="V-10000034"/>
      <sheetName val="V-10000033"/>
      <sheetName val="V-22818980"/>
      <sheetName val="V-10000032"/>
      <sheetName val="V-10000031"/>
      <sheetName val="V-10000030"/>
      <sheetName val="V-10000029"/>
      <sheetName val="V-10000025"/>
      <sheetName val="V-10000024"/>
      <sheetName val="V-10000023"/>
      <sheetName val="V-10000022"/>
      <sheetName val="V-10000021"/>
      <sheetName val="V-10000020"/>
      <sheetName val="V-10000019"/>
      <sheetName val="V-10000018"/>
      <sheetName val="V-10000017"/>
      <sheetName val="V-10000016"/>
      <sheetName val="V-10000015"/>
      <sheetName val="V-10000014"/>
      <sheetName val="V-10000013"/>
      <sheetName val="V-10000012"/>
      <sheetName val="V-10000011"/>
      <sheetName val="V-10553146"/>
      <sheetName val="V-25017131"/>
      <sheetName val="V-10000010"/>
      <sheetName val="V-10000009"/>
      <sheetName val="V-10000008"/>
      <sheetName val="V-10000007"/>
      <sheetName val="V-10000006"/>
      <sheetName val="V-10000005"/>
      <sheetName val="V-10000004"/>
      <sheetName val="V-10000003"/>
      <sheetName val="V-10000002"/>
      <sheetName val="V-10000001"/>
      <sheetName val="Base"/>
      <sheetName val="V-10000028"/>
      <sheetName val="V-10000027"/>
      <sheetName val="V-10000026"/>
    </sheetNames>
    <sheetDataSet>
      <sheetData sheetId="0"/>
      <sheetData sheetId="1">
        <row r="1">
          <cell r="J1">
            <v>0</v>
          </cell>
        </row>
      </sheetData>
      <sheetData sheetId="2">
        <row r="1">
          <cell r="J1">
            <v>0</v>
          </cell>
        </row>
      </sheetData>
      <sheetData sheetId="3">
        <row r="1">
          <cell r="J1">
            <v>0</v>
          </cell>
        </row>
      </sheetData>
      <sheetData sheetId="4">
        <row r="1">
          <cell r="J1">
            <v>0</v>
          </cell>
        </row>
      </sheetData>
      <sheetData sheetId="5">
        <row r="1">
          <cell r="J1">
            <v>0</v>
          </cell>
        </row>
      </sheetData>
      <sheetData sheetId="6">
        <row r="1">
          <cell r="J1">
            <v>0</v>
          </cell>
        </row>
      </sheetData>
      <sheetData sheetId="7">
        <row r="1">
          <cell r="J1">
            <v>161.56038461538463</v>
          </cell>
        </row>
      </sheetData>
      <sheetData sheetId="8">
        <row r="1">
          <cell r="J1">
            <v>0</v>
          </cell>
        </row>
      </sheetData>
      <sheetData sheetId="9">
        <row r="1">
          <cell r="J1">
            <v>0</v>
          </cell>
        </row>
      </sheetData>
      <sheetData sheetId="10">
        <row r="1">
          <cell r="J1">
            <v>0</v>
          </cell>
        </row>
      </sheetData>
      <sheetData sheetId="11">
        <row r="1">
          <cell r="J1">
            <v>0</v>
          </cell>
        </row>
      </sheetData>
      <sheetData sheetId="12">
        <row r="1">
          <cell r="J1">
            <v>0</v>
          </cell>
        </row>
      </sheetData>
      <sheetData sheetId="13">
        <row r="1">
          <cell r="J1">
            <v>0</v>
          </cell>
        </row>
      </sheetData>
      <sheetData sheetId="14">
        <row r="1">
          <cell r="J1">
            <v>0</v>
          </cell>
        </row>
      </sheetData>
      <sheetData sheetId="15">
        <row r="1">
          <cell r="J1">
            <v>0</v>
          </cell>
        </row>
      </sheetData>
      <sheetData sheetId="16">
        <row r="1">
          <cell r="J1">
            <v>0</v>
          </cell>
        </row>
      </sheetData>
      <sheetData sheetId="17">
        <row r="1">
          <cell r="J1">
            <v>0</v>
          </cell>
        </row>
      </sheetData>
      <sheetData sheetId="18">
        <row r="1">
          <cell r="J1">
            <v>0</v>
          </cell>
        </row>
      </sheetData>
      <sheetData sheetId="19">
        <row r="1">
          <cell r="J1">
            <v>0</v>
          </cell>
        </row>
      </sheetData>
      <sheetData sheetId="20">
        <row r="1">
          <cell r="J1">
            <v>0</v>
          </cell>
        </row>
      </sheetData>
      <sheetData sheetId="21">
        <row r="1">
          <cell r="J1">
            <v>0</v>
          </cell>
        </row>
      </sheetData>
      <sheetData sheetId="22">
        <row r="1">
          <cell r="J1">
            <v>0</v>
          </cell>
        </row>
      </sheetData>
      <sheetData sheetId="23">
        <row r="1">
          <cell r="J1">
            <v>0</v>
          </cell>
        </row>
      </sheetData>
      <sheetData sheetId="24">
        <row r="1">
          <cell r="J1">
            <v>0</v>
          </cell>
        </row>
      </sheetData>
      <sheetData sheetId="25">
        <row r="1">
          <cell r="J1">
            <v>4.3491666666666671</v>
          </cell>
        </row>
      </sheetData>
      <sheetData sheetId="26">
        <row r="1">
          <cell r="J1">
            <v>0.70333333333333325</v>
          </cell>
        </row>
      </sheetData>
      <sheetData sheetId="27">
        <row r="1">
          <cell r="J1">
            <v>84.890641025641017</v>
          </cell>
        </row>
      </sheetData>
      <sheetData sheetId="28">
        <row r="1">
          <cell r="J1">
            <v>0</v>
          </cell>
        </row>
      </sheetData>
      <sheetData sheetId="29">
        <row r="1">
          <cell r="J1">
            <v>0</v>
          </cell>
        </row>
      </sheetData>
      <sheetData sheetId="30">
        <row r="1">
          <cell r="J1">
            <v>0</v>
          </cell>
        </row>
      </sheetData>
      <sheetData sheetId="31">
        <row r="1">
          <cell r="J1">
            <v>0</v>
          </cell>
        </row>
      </sheetData>
      <sheetData sheetId="32">
        <row r="1">
          <cell r="J1">
            <v>0</v>
          </cell>
        </row>
      </sheetData>
      <sheetData sheetId="33">
        <row r="1">
          <cell r="J1">
            <v>0</v>
          </cell>
        </row>
      </sheetData>
      <sheetData sheetId="34">
        <row r="1">
          <cell r="J1">
            <v>0</v>
          </cell>
        </row>
      </sheetData>
      <sheetData sheetId="35">
        <row r="1">
          <cell r="J1">
            <v>0</v>
          </cell>
        </row>
      </sheetData>
      <sheetData sheetId="36">
        <row r="1">
          <cell r="J1">
            <v>0</v>
          </cell>
        </row>
      </sheetData>
      <sheetData sheetId="37">
        <row r="1">
          <cell r="J1">
            <v>0</v>
          </cell>
        </row>
      </sheetData>
      <sheetData sheetId="38">
        <row r="1">
          <cell r="J1">
            <v>0</v>
          </cell>
        </row>
      </sheetData>
      <sheetData sheetId="39">
        <row r="1">
          <cell r="J1">
            <v>0</v>
          </cell>
        </row>
      </sheetData>
      <sheetData sheetId="40"/>
      <sheetData sheetId="41">
        <row r="1">
          <cell r="J1">
            <v>0</v>
          </cell>
        </row>
      </sheetData>
      <sheetData sheetId="42">
        <row r="1">
          <cell r="J1">
            <v>0</v>
          </cell>
        </row>
      </sheetData>
      <sheetData sheetId="43">
        <row r="1">
          <cell r="J1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Dashboard"/>
      <sheetName val="Usuarios"/>
      <sheetName val="Gestion Interna"/>
    </sheetNames>
    <sheetDataSet>
      <sheetData sheetId="0" refreshError="1"/>
      <sheetData sheetId="1" refreshError="1">
        <row r="3">
          <cell r="J3">
            <v>4.5</v>
          </cell>
          <cell r="K3">
            <v>1</v>
          </cell>
        </row>
      </sheetData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entario" displayName="Inventario" ref="A1:K40" totalsRowShown="0" headerRowDxfId="36" dataDxfId="35">
  <autoFilter ref="A1:K4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sortState xmlns:xlrd2="http://schemas.microsoft.com/office/spreadsheetml/2017/richdata2" ref="A2:K40">
    <sortCondition ref="B2:B40"/>
  </sortState>
  <tableColumns count="11">
    <tableColumn id="3" xr3:uid="{C33679B2-0ED9-415B-895F-34453AB487CB}" name="Codigo" dataDxfId="34"/>
    <tableColumn id="2" xr3:uid="{00000000-0010-0000-0000-000002000000}" name="Producto" dataDxfId="33"/>
    <tableColumn id="4" xr3:uid="{00000000-0010-0000-0000-000004000000}" name="Presentacion por unidad" dataDxfId="32"/>
    <tableColumn id="10" xr3:uid="{C13B4066-CD63-4156-93F1-886710D0CB7F}" name="Existencia" dataDxfId="31"/>
    <tableColumn id="5" xr3:uid="{00000000-0010-0000-0000-000005000000}" name="Cantidad de unidades por bulto" dataDxfId="30"/>
    <tableColumn id="6" xr3:uid="{00000000-0010-0000-0000-000006000000}" name="Costo por bulto (R$)" dataDxfId="29"/>
    <tableColumn id="1" xr3:uid="{00000000-0010-0000-0000-000001000000}" name="Costo" dataDxfId="28">
      <calculatedColumnFormula>Inventario[[#This Row],[Costo por bulto (R$)]]/Inventario[[#This Row],[Cantidad de unidades por bulto]]</calculatedColumnFormula>
    </tableColumn>
    <tableColumn id="7" xr3:uid="{00000000-0010-0000-0000-000007000000}" name="Precio por bulto ($)" dataDxfId="27"/>
    <tableColumn id="14" xr3:uid="{00000000-0010-0000-0000-00000E000000}" name="Precio" dataDxfId="26">
      <calculatedColumnFormula>Inventario[[#This Row],[Precio por bulto ($)]]/Inventario[[#This Row],[Cantidad de unidades por bulto]]</calculatedColumnFormula>
    </tableColumn>
    <tableColumn id="8" xr3:uid="{EB29BC70-2292-4676-9A55-E141AC51BC22}" name="Importe Costo" dataDxfId="25">
      <calculatedColumnFormula>Inventario[[#This Row],[Existencia]]*Inventario[[#This Row],[Costo]]</calculatedColumnFormula>
    </tableColumn>
    <tableColumn id="9" xr3:uid="{407E1672-3F0A-4F2F-9DBA-D2A5E7602540}" name="Importe Precio" dataDxfId="24">
      <calculatedColumnFormula>Inventario[[#This Row],[Existencia]]*Inventario[[#This Row],[Precio]]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es" displayName="Clientes" ref="A1:M44" totalsRowShown="0" headerRowDxfId="23" dataDxfId="22">
  <autoFilter ref="A1:M44" xr:uid="{ECD5863C-1DCB-4237-9D11-3BD2E7B274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sortState xmlns:xlrd2="http://schemas.microsoft.com/office/spreadsheetml/2017/richdata2" ref="A2:M44">
    <sortCondition ref="B2:B44"/>
  </sortState>
  <tableColumns count="13">
    <tableColumn id="1" xr3:uid="{00000000-0010-0000-0100-000001000000}" name="ID" dataDxfId="21"/>
    <tableColumn id="2" xr3:uid="{00000000-0010-0000-0100-000002000000}" name="Nombre" dataDxfId="20"/>
    <tableColumn id="3" xr3:uid="{00000000-0010-0000-0100-000003000000}" name="Direccion" dataDxfId="19"/>
    <tableColumn id="4" xr3:uid="{00000000-0010-0000-0100-000004000000}" name="Telefono" dataDxfId="18"/>
    <tableColumn id="5" xr3:uid="{00000000-0010-0000-0100-000005000000}" name="Credito" dataDxfId="17"/>
    <tableColumn id="6" xr3:uid="{00000000-0010-0000-0100-000006000000}" name="Consignacion" dataDxfId="16"/>
    <tableColumn id="12" xr3:uid="{29FAEE96-EE49-4075-9096-4EEEA4F058EA}" name="Limite Credito" dataDxfId="15"/>
    <tableColumn id="9" xr3:uid="{00000000-0010-0000-0100-000009000000}" name="Saldo Credito" dataDxfId="14"/>
    <tableColumn id="7" xr3:uid="{D97596E1-5116-466E-9F41-2FB4647CBEC5}" name="Saldo Consignacion" dataDxfId="13"/>
    <tableColumn id="11" xr3:uid="{9A420E39-B38A-4E08-9364-3FD5E4D5814A}" name="Prestamo $" dataDxfId="12"/>
    <tableColumn id="14" xr3:uid="{46E722D5-A952-4260-8179-CC6667772DBA}" name="Prestamo R$" dataDxfId="11"/>
    <tableColumn id="15" xr3:uid="{1C2D15B8-1E03-4BC4-8F1B-F5EB2ED9F302}" name="Prestamo Bs" dataDxfId="10"/>
    <tableColumn id="10" xr3:uid="{5311DF80-10DC-47F4-BF72-286D48DE2220}" name="Deuda Total" dataDxfId="9">
      <calculatedColumnFormula>Clientes[[#This Row],[Saldo Credito]]+Clientes[[#This Row],[Saldo Consignacion]]+Clientes[[#This Row],[Prestamo $]]+(Clientes[[#This Row],[Prestamo R$]]/[2]Dashboard!$J$3)+(Clientes[[#This Row],[Prestamo Bs]]/[2]Dashboard!$K$3)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orrelativos" displayName="Correlativos" ref="A1:D17" totalsRowShown="0">
  <autoFilter ref="A1:D17" xr:uid="{00000000-0009-0000-0100-000003000000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A3:D15">
    <sortCondition descending="1" ref="A1"/>
  </sortState>
  <tableColumns count="4">
    <tableColumn id="1" xr3:uid="{00000000-0010-0000-0200-000001000000}" name="Prefijo" dataDxfId="8"/>
    <tableColumn id="2" xr3:uid="{2C2EAEA9-AA43-4BC8-BCD9-EB0D9CBE3CC5}" name="Leyenda" dataDxfId="7" dataCellStyle="Normal 2"/>
    <tableColumn id="3" xr3:uid="{00000000-0010-0000-0200-000003000000}" name="ID-1" dataDxfId="6"/>
    <tableColumn id="4" xr3:uid="{00000000-0010-0000-0200-000004000000}" name="ID-2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EB3F04-8C4E-4B1C-B2B5-75459839730F}" name="Cajas" displayName="Cajas" ref="A1:D10" totalsRowShown="0" dataDxfId="4">
  <autoFilter ref="A1:D10" xr:uid="{00000000-0009-0000-0100-000001000000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A3:D10">
    <sortCondition ref="A1:A10"/>
  </sortState>
  <tableColumns count="4">
    <tableColumn id="1" xr3:uid="{00000000-0010-0000-0000-000001000000}" name="ID Responsable Caja" dataDxfId="3"/>
    <tableColumn id="4" xr3:uid="{A27D4E2B-00C9-472C-978C-61E1C8BB7D3B}" name="ID Caja" dataDxfId="2" dataCellStyle="Normal 3"/>
    <tableColumn id="2" xr3:uid="{00000000-0010-0000-0000-000002000000}" name="Nombre" dataDxfId="1"/>
    <tableColumn id="3" xr3:uid="{00000000-0010-0000-0000-000003000000}" name="Sal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Y1:Z30"/>
  <sheetViews>
    <sheetView showGridLines="0" tabSelected="1" workbookViewId="0">
      <selection activeCell="Z23" sqref="Z23"/>
    </sheetView>
  </sheetViews>
  <sheetFormatPr defaultColWidth="11.5546875" defaultRowHeight="14.4" x14ac:dyDescent="0.3"/>
  <cols>
    <col min="25" max="25" width="40" bestFit="1" customWidth="1"/>
    <col min="26" max="26" width="15.88671875" style="2" bestFit="1" customWidth="1"/>
  </cols>
  <sheetData>
    <row r="1" spans="25:26" x14ac:dyDescent="0.3">
      <c r="Z1" s="3" t="s">
        <v>203</v>
      </c>
    </row>
    <row r="2" spans="25:26" x14ac:dyDescent="0.3">
      <c r="Y2" s="40" t="s">
        <v>16</v>
      </c>
      <c r="Z2" s="1">
        <v>0</v>
      </c>
    </row>
    <row r="3" spans="25:26" x14ac:dyDescent="0.3">
      <c r="Y3" s="41" t="s">
        <v>101</v>
      </c>
      <c r="Z3" s="2">
        <v>5</v>
      </c>
    </row>
    <row r="4" spans="25:26" x14ac:dyDescent="0.3">
      <c r="Y4" s="40" t="s">
        <v>102</v>
      </c>
      <c r="Z4" s="2">
        <v>3</v>
      </c>
    </row>
    <row r="5" spans="25:26" x14ac:dyDescent="0.3">
      <c r="Y5" s="42" t="s">
        <v>103</v>
      </c>
      <c r="Z5" s="2">
        <v>1</v>
      </c>
    </row>
    <row r="6" spans="25:26" x14ac:dyDescent="0.3">
      <c r="Y6" s="43" t="s">
        <v>104</v>
      </c>
      <c r="Z6" s="2">
        <v>0</v>
      </c>
    </row>
    <row r="7" spans="25:26" x14ac:dyDescent="0.3">
      <c r="Y7" s="41" t="s">
        <v>105</v>
      </c>
      <c r="Z7" s="2">
        <v>0</v>
      </c>
    </row>
    <row r="8" spans="25:26" x14ac:dyDescent="0.3">
      <c r="Y8" s="43" t="s">
        <v>106</v>
      </c>
      <c r="Z8" s="2">
        <v>0</v>
      </c>
    </row>
    <row r="9" spans="25:26" x14ac:dyDescent="0.3">
      <c r="Y9" s="42" t="s">
        <v>107</v>
      </c>
      <c r="Z9" s="2">
        <v>1</v>
      </c>
    </row>
    <row r="10" spans="25:26" x14ac:dyDescent="0.3">
      <c r="Y10" s="40" t="s">
        <v>108</v>
      </c>
      <c r="Z10" s="2">
        <v>0</v>
      </c>
    </row>
    <row r="11" spans="25:26" x14ac:dyDescent="0.3">
      <c r="Y11" s="41" t="s">
        <v>109</v>
      </c>
      <c r="Z11" s="2">
        <v>0</v>
      </c>
    </row>
    <row r="12" spans="25:26" x14ac:dyDescent="0.3">
      <c r="Y12" s="40" t="s">
        <v>110</v>
      </c>
      <c r="Z12" s="2">
        <v>5</v>
      </c>
    </row>
    <row r="13" spans="25:26" x14ac:dyDescent="0.3">
      <c r="Y13" s="41" t="s">
        <v>111</v>
      </c>
      <c r="Z13" s="2">
        <v>563</v>
      </c>
    </row>
    <row r="14" spans="25:26" x14ac:dyDescent="0.3">
      <c r="Y14" s="43" t="s">
        <v>112</v>
      </c>
      <c r="Z14" s="2">
        <v>1</v>
      </c>
    </row>
    <row r="15" spans="25:26" x14ac:dyDescent="0.3">
      <c r="Y15" s="41" t="s">
        <v>113</v>
      </c>
      <c r="Z15" s="2">
        <v>5</v>
      </c>
    </row>
    <row r="16" spans="25:26" x14ac:dyDescent="0.3">
      <c r="Y16" s="40" t="s">
        <v>114</v>
      </c>
      <c r="Z16" s="2">
        <v>0</v>
      </c>
    </row>
    <row r="17" spans="25:26" x14ac:dyDescent="0.3">
      <c r="Y17" s="41" t="s">
        <v>115</v>
      </c>
      <c r="Z17" s="2">
        <v>10</v>
      </c>
    </row>
    <row r="18" spans="25:26" x14ac:dyDescent="0.3">
      <c r="Y18" s="40" t="s">
        <v>197</v>
      </c>
      <c r="Z18" s="2">
        <v>1</v>
      </c>
    </row>
    <row r="19" spans="25:26" x14ac:dyDescent="0.3">
      <c r="Y19" s="41" t="s">
        <v>116</v>
      </c>
      <c r="Z19" s="2">
        <v>123</v>
      </c>
    </row>
    <row r="20" spans="25:26" x14ac:dyDescent="0.3">
      <c r="Y20" s="40" t="s">
        <v>117</v>
      </c>
      <c r="Z20" s="2">
        <v>5</v>
      </c>
    </row>
    <row r="21" spans="25:26" x14ac:dyDescent="0.3">
      <c r="Y21" s="42" t="s">
        <v>118</v>
      </c>
      <c r="Z21" s="2">
        <v>0</v>
      </c>
    </row>
    <row r="22" spans="25:26" x14ac:dyDescent="0.3">
      <c r="Y22" s="43" t="s">
        <v>119</v>
      </c>
      <c r="Z22" s="2">
        <v>543</v>
      </c>
    </row>
    <row r="23" spans="25:26" x14ac:dyDescent="0.3">
      <c r="Y23" s="41" t="s">
        <v>120</v>
      </c>
      <c r="Z23" s="2">
        <v>0</v>
      </c>
    </row>
    <row r="24" spans="25:26" x14ac:dyDescent="0.3">
      <c r="Y24" s="43" t="s">
        <v>121</v>
      </c>
      <c r="Z24" s="2">
        <v>0</v>
      </c>
    </row>
    <row r="25" spans="25:26" x14ac:dyDescent="0.3">
      <c r="Y25" s="42" t="s">
        <v>122</v>
      </c>
      <c r="Z25" s="2">
        <v>0</v>
      </c>
    </row>
    <row r="26" spans="25:26" x14ac:dyDescent="0.3">
      <c r="Y26" s="43" t="s">
        <v>123</v>
      </c>
      <c r="Z26" s="2">
        <v>0</v>
      </c>
    </row>
    <row r="27" spans="25:26" x14ac:dyDescent="0.3">
      <c r="Y27" s="42" t="s">
        <v>124</v>
      </c>
      <c r="Z27" s="2">
        <v>0</v>
      </c>
    </row>
    <row r="28" spans="25:26" x14ac:dyDescent="0.3">
      <c r="Y28" s="43" t="s">
        <v>125</v>
      </c>
      <c r="Z28" s="2">
        <v>209</v>
      </c>
    </row>
    <row r="29" spans="25:26" x14ac:dyDescent="0.3">
      <c r="Y29" s="42" t="s">
        <v>126</v>
      </c>
      <c r="Z29" s="2">
        <v>0</v>
      </c>
    </row>
    <row r="30" spans="25:26" x14ac:dyDescent="0.3">
      <c r="Y30" s="43" t="s">
        <v>127</v>
      </c>
      <c r="Z30" s="2">
        <v>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O40"/>
  <sheetViews>
    <sheetView workbookViewId="0"/>
  </sheetViews>
  <sheetFormatPr defaultColWidth="11.44140625" defaultRowHeight="14.4" x14ac:dyDescent="0.3"/>
  <cols>
    <col min="1" max="1" width="16.6640625" style="2" bestFit="1" customWidth="1"/>
    <col min="2" max="2" width="38.6640625" style="2" bestFit="1" customWidth="1"/>
    <col min="3" max="3" width="24.6640625" style="2" customWidth="1"/>
    <col min="4" max="4" width="9.88671875" style="2" bestFit="1" customWidth="1"/>
    <col min="5" max="5" width="29.109375" style="2" bestFit="1" customWidth="1"/>
    <col min="6" max="6" width="18.6640625" style="2" bestFit="1" customWidth="1"/>
    <col min="7" max="7" width="9.5546875" style="2" bestFit="1" customWidth="1"/>
    <col min="8" max="8" width="18.109375" style="2" bestFit="1" customWidth="1"/>
    <col min="9" max="9" width="7.6640625" style="2" bestFit="1" customWidth="1"/>
    <col min="10" max="10" width="13.5546875" style="2" bestFit="1" customWidth="1"/>
    <col min="11" max="11" width="14.109375" style="2" bestFit="1" customWidth="1"/>
    <col min="12" max="13" width="11.44140625" style="2"/>
    <col min="14" max="14" width="13.5546875" bestFit="1" customWidth="1"/>
    <col min="15" max="16384" width="11.44140625" style="2"/>
  </cols>
  <sheetData>
    <row r="1" spans="1:15" s="3" customFormat="1" x14ac:dyDescent="0.3">
      <c r="A1" s="3" t="s">
        <v>22</v>
      </c>
      <c r="B1" s="3" t="s">
        <v>0</v>
      </c>
      <c r="C1" s="3" t="s">
        <v>1</v>
      </c>
      <c r="D1" s="17" t="s">
        <v>23</v>
      </c>
      <c r="E1" s="3" t="s">
        <v>13</v>
      </c>
      <c r="F1" s="3" t="s">
        <v>14</v>
      </c>
      <c r="G1" s="3" t="s">
        <v>38</v>
      </c>
      <c r="H1" s="3" t="s">
        <v>15</v>
      </c>
      <c r="I1" s="3" t="s">
        <v>21</v>
      </c>
      <c r="J1" s="3" t="s">
        <v>61</v>
      </c>
      <c r="K1" s="3" t="s">
        <v>62</v>
      </c>
      <c r="N1" s="45" t="s">
        <v>204</v>
      </c>
      <c r="O1" s="44">
        <f>SUM(Inventario[Importe Precio])</f>
        <v>715.46288461538461</v>
      </c>
    </row>
    <row r="2" spans="1:15" s="3" customFormat="1" x14ac:dyDescent="0.3">
      <c r="A2" s="47">
        <v>1</v>
      </c>
      <c r="B2" s="4" t="s">
        <v>16</v>
      </c>
      <c r="C2" s="1" t="s">
        <v>2</v>
      </c>
      <c r="D2" s="48">
        <v>0</v>
      </c>
      <c r="E2" s="49">
        <v>20</v>
      </c>
      <c r="F2" s="28">
        <v>97</v>
      </c>
      <c r="G2" s="28">
        <f>Inventario[[#This Row],[Costo por bulto (R$)]]/Inventario[[#This Row],[Cantidad de unidades por bulto]]</f>
        <v>4.8499999999999996</v>
      </c>
      <c r="H2" s="5">
        <v>25.5</v>
      </c>
      <c r="I2" s="5">
        <f>Inventario[[#This Row],[Precio por bulto ($)]]/Inventario[[#This Row],[Cantidad de unidades por bulto]]</f>
        <v>1.2749999999999999</v>
      </c>
      <c r="J2" s="28">
        <f>Inventario[[#This Row],[Existencia]]*Inventario[[#This Row],[Costo]]</f>
        <v>0</v>
      </c>
      <c r="K2" s="5">
        <f>Inventario[[#This Row],[Existencia]]*Inventario[[#This Row],[Precio]]</f>
        <v>0</v>
      </c>
      <c r="O2" s="39"/>
    </row>
    <row r="3" spans="1:15" s="3" customFormat="1" x14ac:dyDescent="0.3">
      <c r="A3" s="47">
        <v>7891107101621</v>
      </c>
      <c r="B3" s="4" t="s">
        <v>206</v>
      </c>
      <c r="C3" s="1" t="s">
        <v>2</v>
      </c>
      <c r="D3" s="48">
        <v>0</v>
      </c>
      <c r="E3" s="49">
        <v>20</v>
      </c>
      <c r="F3" s="35">
        <v>94</v>
      </c>
      <c r="G3" s="27">
        <f>Inventario[[#This Row],[Costo por bulto (R$)]]/Inventario[[#This Row],[Cantidad de unidades por bulto]]</f>
        <v>4.7</v>
      </c>
      <c r="H3" s="36">
        <v>24.5</v>
      </c>
      <c r="I3" s="33">
        <f>Inventario[[#This Row],[Precio por bulto ($)]]/Inventario[[#This Row],[Cantidad de unidades por bulto]]</f>
        <v>1.2250000000000001</v>
      </c>
      <c r="J3" s="27">
        <f>Inventario[[#This Row],[Existencia]]*Inventario[[#This Row],[Costo]]</f>
        <v>0</v>
      </c>
      <c r="K3" s="34">
        <f>Inventario[[#This Row],[Existencia]]*Inventario[[#This Row],[Precio]]</f>
        <v>0</v>
      </c>
      <c r="O3" s="39"/>
    </row>
    <row r="4" spans="1:15" s="3" customFormat="1" x14ac:dyDescent="0.3">
      <c r="A4" s="47">
        <v>2</v>
      </c>
      <c r="B4" s="4" t="s">
        <v>101</v>
      </c>
      <c r="C4" s="1" t="s">
        <v>3</v>
      </c>
      <c r="D4" s="48">
        <v>0</v>
      </c>
      <c r="E4" s="49">
        <v>30</v>
      </c>
      <c r="F4" s="28">
        <v>92</v>
      </c>
      <c r="G4" s="28">
        <f>Inventario[[#This Row],[Costo por bulto (R$)]]/Inventario[[#This Row],[Cantidad de unidades por bulto]]</f>
        <v>3.0666666666666669</v>
      </c>
      <c r="H4" s="5">
        <v>24.3</v>
      </c>
      <c r="I4" s="5">
        <f>Inventario[[#This Row],[Precio por bulto ($)]]/Inventario[[#This Row],[Cantidad de unidades por bulto]]</f>
        <v>0.81</v>
      </c>
      <c r="J4" s="28">
        <f>Inventario[[#This Row],[Existencia]]*Inventario[[#This Row],[Costo]]</f>
        <v>0</v>
      </c>
      <c r="K4" s="5">
        <f>Inventario[[#This Row],[Existencia]]*Inventario[[#This Row],[Precio]]</f>
        <v>0</v>
      </c>
      <c r="O4" s="39"/>
    </row>
    <row r="5" spans="1:15" s="3" customFormat="1" x14ac:dyDescent="0.3">
      <c r="A5" s="47">
        <v>3</v>
      </c>
      <c r="B5" s="4" t="s">
        <v>102</v>
      </c>
      <c r="C5" s="1" t="s">
        <v>3</v>
      </c>
      <c r="D5" s="48">
        <v>0</v>
      </c>
      <c r="E5" s="49">
        <v>30</v>
      </c>
      <c r="F5" s="28">
        <v>90</v>
      </c>
      <c r="G5" s="28">
        <f>Inventario[[#This Row],[Costo por bulto (R$)]]/Inventario[[#This Row],[Cantidad de unidades por bulto]]</f>
        <v>3</v>
      </c>
      <c r="H5" s="5">
        <v>24</v>
      </c>
      <c r="I5" s="5">
        <f>Inventario[[#This Row],[Precio por bulto ($)]]/Inventario[[#This Row],[Cantidad de unidades por bulto]]</f>
        <v>0.8</v>
      </c>
      <c r="J5" s="28">
        <f>Inventario[[#This Row],[Existencia]]*Inventario[[#This Row],[Costo]]</f>
        <v>0</v>
      </c>
      <c r="K5" s="5">
        <f>Inventario[[#This Row],[Existencia]]*Inventario[[#This Row],[Precio]]</f>
        <v>0</v>
      </c>
      <c r="O5" s="39"/>
    </row>
    <row r="6" spans="1:15" s="3" customFormat="1" x14ac:dyDescent="0.3">
      <c r="A6" s="47">
        <v>4</v>
      </c>
      <c r="B6" s="29" t="s">
        <v>103</v>
      </c>
      <c r="C6" s="1" t="s">
        <v>3</v>
      </c>
      <c r="D6" s="48">
        <v>1</v>
      </c>
      <c r="E6" s="49">
        <v>30</v>
      </c>
      <c r="F6" s="28">
        <v>93</v>
      </c>
      <c r="G6" s="28">
        <f>Inventario[[#This Row],[Costo por bulto (R$)]]/Inventario[[#This Row],[Cantidad de unidades por bulto]]</f>
        <v>3.1</v>
      </c>
      <c r="H6" s="5">
        <v>24.3</v>
      </c>
      <c r="I6" s="5">
        <f>Inventario[[#This Row],[Precio por bulto ($)]]/Inventario[[#This Row],[Cantidad de unidades por bulto]]</f>
        <v>0.81</v>
      </c>
      <c r="J6" s="28">
        <f>Inventario[[#This Row],[Existencia]]*Inventario[[#This Row],[Costo]]</f>
        <v>3.1</v>
      </c>
      <c r="K6" s="5">
        <f>Inventario[[#This Row],[Existencia]]*Inventario[[#This Row],[Precio]]</f>
        <v>0.81</v>
      </c>
      <c r="O6" s="39"/>
    </row>
    <row r="7" spans="1:15" s="3" customFormat="1" x14ac:dyDescent="0.3">
      <c r="A7" s="47">
        <v>5</v>
      </c>
      <c r="B7" s="29" t="s">
        <v>104</v>
      </c>
      <c r="C7" s="1" t="s">
        <v>3</v>
      </c>
      <c r="D7" s="48">
        <v>0</v>
      </c>
      <c r="E7" s="49">
        <v>30</v>
      </c>
      <c r="F7" s="28">
        <v>95</v>
      </c>
      <c r="G7" s="28">
        <f>Inventario[[#This Row],[Costo por bulto (R$)]]/Inventario[[#This Row],[Cantidad de unidades por bulto]]</f>
        <v>3.1666666666666665</v>
      </c>
      <c r="H7" s="5">
        <v>26.32</v>
      </c>
      <c r="I7" s="5">
        <f>Inventario[[#This Row],[Precio por bulto ($)]]/Inventario[[#This Row],[Cantidad de unidades por bulto]]</f>
        <v>0.8773333333333333</v>
      </c>
      <c r="J7" s="28">
        <f>Inventario[[#This Row],[Existencia]]*Inventario[[#This Row],[Costo]]</f>
        <v>0</v>
      </c>
      <c r="K7" s="5">
        <f>Inventario[[#This Row],[Existencia]]*Inventario[[#This Row],[Precio]]</f>
        <v>0</v>
      </c>
      <c r="O7" s="39"/>
    </row>
    <row r="8" spans="1:15" s="3" customFormat="1" x14ac:dyDescent="0.3">
      <c r="A8" s="47">
        <v>6</v>
      </c>
      <c r="B8" s="4" t="s">
        <v>105</v>
      </c>
      <c r="C8" s="1" t="s">
        <v>3</v>
      </c>
      <c r="D8" s="48">
        <v>168</v>
      </c>
      <c r="E8" s="49">
        <v>30</v>
      </c>
      <c r="F8" s="28">
        <v>86</v>
      </c>
      <c r="G8" s="28">
        <f>Inventario[[#This Row],[Costo por bulto (R$)]]/Inventario[[#This Row],[Cantidad de unidades por bulto]]</f>
        <v>2.8666666666666667</v>
      </c>
      <c r="H8" s="5">
        <v>22.5</v>
      </c>
      <c r="I8" s="5">
        <f>Inventario[[#This Row],[Precio por bulto ($)]]/Inventario[[#This Row],[Cantidad de unidades por bulto]]</f>
        <v>0.75</v>
      </c>
      <c r="J8" s="28">
        <f>Inventario[[#This Row],[Existencia]]*Inventario[[#This Row],[Costo]]</f>
        <v>481.6</v>
      </c>
      <c r="K8" s="5">
        <f>Inventario[[#This Row],[Existencia]]*Inventario[[#This Row],[Precio]]</f>
        <v>126</v>
      </c>
      <c r="O8" s="39"/>
    </row>
    <row r="9" spans="1:15" s="3" customFormat="1" x14ac:dyDescent="0.3">
      <c r="A9" s="47">
        <v>7898051680011</v>
      </c>
      <c r="B9" s="4" t="s">
        <v>207</v>
      </c>
      <c r="C9" s="1" t="s">
        <v>3</v>
      </c>
      <c r="D9" s="48">
        <v>121</v>
      </c>
      <c r="E9" s="49">
        <v>30</v>
      </c>
      <c r="F9" s="35">
        <v>86</v>
      </c>
      <c r="G9" s="27">
        <f>Inventario[[#This Row],[Costo por bulto (R$)]]/Inventario[[#This Row],[Cantidad de unidades por bulto]]</f>
        <v>2.8666666666666667</v>
      </c>
      <c r="H9" s="36">
        <v>22.5</v>
      </c>
      <c r="I9" s="33">
        <f>Inventario[[#This Row],[Precio por bulto ($)]]/Inventario[[#This Row],[Cantidad de unidades por bulto]]</f>
        <v>0.75</v>
      </c>
      <c r="J9" s="27">
        <f>Inventario[[#This Row],[Existencia]]*Inventario[[#This Row],[Costo]]</f>
        <v>346.86666666666667</v>
      </c>
      <c r="K9" s="34">
        <f>Inventario[[#This Row],[Existencia]]*Inventario[[#This Row],[Precio]]</f>
        <v>90.75</v>
      </c>
      <c r="O9" s="39"/>
    </row>
    <row r="10" spans="1:15" s="3" customFormat="1" x14ac:dyDescent="0.3">
      <c r="A10" s="47">
        <v>7</v>
      </c>
      <c r="B10" s="29" t="s">
        <v>106</v>
      </c>
      <c r="C10" s="1" t="s">
        <v>4</v>
      </c>
      <c r="D10" s="48">
        <v>0</v>
      </c>
      <c r="E10" s="49">
        <v>20</v>
      </c>
      <c r="F10" s="28">
        <v>0</v>
      </c>
      <c r="G10" s="28">
        <f>Inventario[[#This Row],[Costo por bulto (R$)]]/Inventario[[#This Row],[Cantidad de unidades por bulto]]</f>
        <v>0</v>
      </c>
      <c r="H10" s="5">
        <v>0</v>
      </c>
      <c r="I10" s="5">
        <f>Inventario[[#This Row],[Precio por bulto ($)]]/Inventario[[#This Row],[Cantidad de unidades por bulto]]</f>
        <v>0</v>
      </c>
      <c r="J10" s="28">
        <f>Inventario[[#This Row],[Existencia]]*Inventario[[#This Row],[Costo]]</f>
        <v>0</v>
      </c>
      <c r="K10" s="5">
        <f>Inventario[[#This Row],[Existencia]]*Inventario[[#This Row],[Precio]]</f>
        <v>0</v>
      </c>
      <c r="O10" s="39"/>
    </row>
    <row r="11" spans="1:15" s="3" customFormat="1" x14ac:dyDescent="0.3">
      <c r="A11" s="47">
        <v>8</v>
      </c>
      <c r="B11" s="29" t="s">
        <v>107</v>
      </c>
      <c r="C11" s="1" t="s">
        <v>129</v>
      </c>
      <c r="D11" s="48">
        <v>0</v>
      </c>
      <c r="E11" s="49">
        <v>1</v>
      </c>
      <c r="F11" s="28">
        <v>35</v>
      </c>
      <c r="G11" s="28">
        <f>Inventario[[#This Row],[Costo por bulto (R$)]]/Inventario[[#This Row],[Cantidad de unidades por bulto]]</f>
        <v>35</v>
      </c>
      <c r="H11" s="5">
        <v>11</v>
      </c>
      <c r="I11" s="5">
        <f>Inventario[[#This Row],[Precio por bulto ($)]]/Inventario[[#This Row],[Cantidad de unidades por bulto]]</f>
        <v>11</v>
      </c>
      <c r="J11" s="28">
        <f>Inventario[[#This Row],[Existencia]]*Inventario[[#This Row],[Costo]]</f>
        <v>0</v>
      </c>
      <c r="K11" s="5">
        <f>Inventario[[#This Row],[Existencia]]*Inventario[[#This Row],[Precio]]</f>
        <v>0</v>
      </c>
      <c r="O11" s="39"/>
    </row>
    <row r="12" spans="1:15" s="3" customFormat="1" x14ac:dyDescent="0.3">
      <c r="A12" s="47">
        <v>32</v>
      </c>
      <c r="B12" s="4" t="s">
        <v>232</v>
      </c>
      <c r="C12" s="1" t="s">
        <v>129</v>
      </c>
      <c r="D12" s="48">
        <v>0</v>
      </c>
      <c r="E12" s="49">
        <v>1</v>
      </c>
      <c r="F12" s="35">
        <v>40</v>
      </c>
      <c r="G12" s="27">
        <f>Inventario[[#This Row],[Costo por bulto (R$)]]/Inventario[[#This Row],[Cantidad de unidades por bulto]]</f>
        <v>40</v>
      </c>
      <c r="H12" s="36">
        <v>11</v>
      </c>
      <c r="I12" s="33">
        <f>Inventario[[#This Row],[Precio por bulto ($)]]/Inventario[[#This Row],[Cantidad de unidades por bulto]]</f>
        <v>11</v>
      </c>
      <c r="J12" s="27">
        <f>Inventario[[#This Row],[Existencia]]*Inventario[[#This Row],[Costo]]</f>
        <v>0</v>
      </c>
      <c r="K12" s="34">
        <f>Inventario[[#This Row],[Existencia]]*Inventario[[#This Row],[Precio]]</f>
        <v>0</v>
      </c>
    </row>
    <row r="13" spans="1:15" s="3" customFormat="1" x14ac:dyDescent="0.3">
      <c r="A13" s="47">
        <v>7842308000022</v>
      </c>
      <c r="B13" s="4" t="s">
        <v>225</v>
      </c>
      <c r="C13" s="1" t="s">
        <v>226</v>
      </c>
      <c r="D13" s="48">
        <v>10</v>
      </c>
      <c r="E13" s="49">
        <v>10</v>
      </c>
      <c r="F13" s="35">
        <v>45</v>
      </c>
      <c r="G13" s="27">
        <f>Inventario[[#This Row],[Costo por bulto (R$)]]/Inventario[[#This Row],[Cantidad de unidades por bulto]]</f>
        <v>4.5</v>
      </c>
      <c r="H13" s="36">
        <v>12.5</v>
      </c>
      <c r="I13" s="33">
        <f>Inventario[[#This Row],[Precio por bulto ($)]]/Inventario[[#This Row],[Cantidad de unidades por bulto]]</f>
        <v>1.25</v>
      </c>
      <c r="J13" s="27">
        <f>Inventario[[#This Row],[Existencia]]*Inventario[[#This Row],[Costo]]</f>
        <v>45</v>
      </c>
      <c r="K13" s="34">
        <f>Inventario[[#This Row],[Existencia]]*Inventario[[#This Row],[Precio]]</f>
        <v>12.5</v>
      </c>
    </row>
    <row r="14" spans="1:15" x14ac:dyDescent="0.3">
      <c r="A14" s="47">
        <v>9</v>
      </c>
      <c r="B14" s="4" t="s">
        <v>108</v>
      </c>
      <c r="C14" s="1" t="s">
        <v>11</v>
      </c>
      <c r="D14" s="48">
        <v>38</v>
      </c>
      <c r="E14" s="49">
        <v>12</v>
      </c>
      <c r="F14" s="28">
        <v>49.17</v>
      </c>
      <c r="G14" s="28">
        <f>Inventario[[#This Row],[Costo por bulto (R$)]]/Inventario[[#This Row],[Cantidad de unidades por bulto]]</f>
        <v>4.0975000000000001</v>
      </c>
      <c r="H14" s="5">
        <v>13.5</v>
      </c>
      <c r="I14" s="5">
        <f>Inventario[[#This Row],[Precio por bulto ($)]]/Inventario[[#This Row],[Cantidad de unidades por bulto]]</f>
        <v>1.125</v>
      </c>
      <c r="J14" s="28">
        <f>Inventario[[#This Row],[Existencia]]*Inventario[[#This Row],[Costo]]</f>
        <v>155.70500000000001</v>
      </c>
      <c r="K14" s="5">
        <f>Inventario[[#This Row],[Existencia]]*Inventario[[#This Row],[Precio]]</f>
        <v>42.75</v>
      </c>
    </row>
    <row r="15" spans="1:15" x14ac:dyDescent="0.3">
      <c r="A15" s="47">
        <v>10</v>
      </c>
      <c r="B15" s="4" t="s">
        <v>109</v>
      </c>
      <c r="C15" s="1" t="s">
        <v>12</v>
      </c>
      <c r="D15" s="48">
        <v>0</v>
      </c>
      <c r="E15" s="49">
        <v>12</v>
      </c>
      <c r="F15" s="28">
        <v>30</v>
      </c>
      <c r="G15" s="28">
        <f>Inventario[[#This Row],[Costo por bulto (R$)]]/Inventario[[#This Row],[Cantidad de unidades por bulto]]</f>
        <v>2.5</v>
      </c>
      <c r="H15" s="5">
        <v>8.39</v>
      </c>
      <c r="I15" s="5">
        <f>Inventario[[#This Row],[Precio por bulto ($)]]/Inventario[[#This Row],[Cantidad de unidades por bulto]]</f>
        <v>0.69916666666666671</v>
      </c>
      <c r="J15" s="28">
        <f>Inventario[[#This Row],[Existencia]]*Inventario[[#This Row],[Costo]]</f>
        <v>0</v>
      </c>
      <c r="K15" s="5">
        <f>Inventario[[#This Row],[Existencia]]*Inventario[[#This Row],[Precio]]</f>
        <v>0</v>
      </c>
    </row>
    <row r="16" spans="1:15" x14ac:dyDescent="0.3">
      <c r="A16" s="47">
        <v>7896547501277</v>
      </c>
      <c r="B16" s="4" t="s">
        <v>231</v>
      </c>
      <c r="C16" s="1" t="s">
        <v>230</v>
      </c>
      <c r="D16" s="48">
        <v>0</v>
      </c>
      <c r="E16" s="49">
        <v>12</v>
      </c>
      <c r="F16" s="35">
        <v>44</v>
      </c>
      <c r="G16" s="27">
        <f>Inventario[[#This Row],[Costo por bulto (R$)]]/Inventario[[#This Row],[Cantidad de unidades por bulto]]</f>
        <v>3.6666666666666665</v>
      </c>
      <c r="H16" s="36">
        <v>13.5</v>
      </c>
      <c r="I16" s="33">
        <f>Inventario[[#This Row],[Precio por bulto ($)]]/Inventario[[#This Row],[Cantidad de unidades por bulto]]</f>
        <v>1.125</v>
      </c>
      <c r="J16" s="27">
        <f>Inventario[[#This Row],[Existencia]]*Inventario[[#This Row],[Costo]]</f>
        <v>0</v>
      </c>
      <c r="K16" s="34">
        <f>Inventario[[#This Row],[Existencia]]*Inventario[[#This Row],[Precio]]</f>
        <v>0</v>
      </c>
    </row>
    <row r="17" spans="1:11" x14ac:dyDescent="0.3">
      <c r="A17" s="47">
        <v>31</v>
      </c>
      <c r="B17" s="4" t="s">
        <v>229</v>
      </c>
      <c r="C17" s="1" t="s">
        <v>230</v>
      </c>
      <c r="D17" s="48">
        <v>0</v>
      </c>
      <c r="E17" s="49">
        <v>12</v>
      </c>
      <c r="F17" s="35">
        <v>44</v>
      </c>
      <c r="G17" s="27">
        <f>Inventario[[#This Row],[Costo por bulto (R$)]]/Inventario[[#This Row],[Cantidad de unidades por bulto]]</f>
        <v>3.6666666666666665</v>
      </c>
      <c r="H17" s="36">
        <v>13.5</v>
      </c>
      <c r="I17" s="33">
        <f>Inventario[[#This Row],[Precio por bulto ($)]]/Inventario[[#This Row],[Cantidad de unidades por bulto]]</f>
        <v>1.125</v>
      </c>
      <c r="J17" s="27">
        <f>Inventario[[#This Row],[Existencia]]*Inventario[[#This Row],[Costo]]</f>
        <v>0</v>
      </c>
      <c r="K17" s="34">
        <f>Inventario[[#This Row],[Existencia]]*Inventario[[#This Row],[Precio]]</f>
        <v>0</v>
      </c>
    </row>
    <row r="18" spans="1:11" x14ac:dyDescent="0.3">
      <c r="A18" s="47">
        <v>11</v>
      </c>
      <c r="B18" s="4" t="s">
        <v>110</v>
      </c>
      <c r="C18" s="1" t="s">
        <v>5</v>
      </c>
      <c r="D18" s="48">
        <v>38</v>
      </c>
      <c r="E18" s="49">
        <v>26</v>
      </c>
      <c r="F18" s="28">
        <v>57</v>
      </c>
      <c r="G18" s="28">
        <f>Inventario[[#This Row],[Costo por bulto (R$)]]/Inventario[[#This Row],[Cantidad de unidades por bulto]]</f>
        <v>2.1923076923076925</v>
      </c>
      <c r="H18" s="5">
        <v>16.5</v>
      </c>
      <c r="I18" s="5">
        <f>Inventario[[#This Row],[Precio por bulto ($)]]/Inventario[[#This Row],[Cantidad de unidades por bulto]]</f>
        <v>0.63461538461538458</v>
      </c>
      <c r="J18" s="28">
        <f>Inventario[[#This Row],[Existencia]]*Inventario[[#This Row],[Costo]]</f>
        <v>83.307692307692321</v>
      </c>
      <c r="K18" s="5">
        <f>Inventario[[#This Row],[Existencia]]*Inventario[[#This Row],[Precio]]</f>
        <v>24.115384615384613</v>
      </c>
    </row>
    <row r="19" spans="1:11" x14ac:dyDescent="0.3">
      <c r="A19" s="47">
        <v>12</v>
      </c>
      <c r="B19" s="4" t="s">
        <v>111</v>
      </c>
      <c r="C19" s="1" t="s">
        <v>6</v>
      </c>
      <c r="D19" s="48">
        <v>313</v>
      </c>
      <c r="E19" s="49">
        <v>120</v>
      </c>
      <c r="F19" s="28">
        <v>45</v>
      </c>
      <c r="G19" s="28">
        <f>Inventario[[#This Row],[Costo por bulto (R$)]]/Inventario[[#This Row],[Cantidad de unidades por bulto]]</f>
        <v>0.375</v>
      </c>
      <c r="H19" s="5">
        <v>12.5</v>
      </c>
      <c r="I19" s="5">
        <f>Inventario[[#This Row],[Precio por bulto ($)]]/Inventario[[#This Row],[Cantidad de unidades por bulto]]</f>
        <v>0.10416666666666667</v>
      </c>
      <c r="J19" s="28">
        <f>Inventario[[#This Row],[Existencia]]*Inventario[[#This Row],[Costo]]</f>
        <v>117.375</v>
      </c>
      <c r="K19" s="5">
        <f>Inventario[[#This Row],[Existencia]]*Inventario[[#This Row],[Precio]]</f>
        <v>32.604166666666671</v>
      </c>
    </row>
    <row r="20" spans="1:11" x14ac:dyDescent="0.3">
      <c r="A20" s="47">
        <v>13</v>
      </c>
      <c r="B20" s="29" t="s">
        <v>112</v>
      </c>
      <c r="C20" s="1" t="s">
        <v>131</v>
      </c>
      <c r="D20" s="48">
        <v>8</v>
      </c>
      <c r="E20" s="49">
        <v>30</v>
      </c>
      <c r="F20" s="28">
        <v>270</v>
      </c>
      <c r="G20" s="28">
        <f>Inventario[[#This Row],[Costo por bulto (R$)]]/Inventario[[#This Row],[Cantidad de unidades por bulto]]</f>
        <v>9</v>
      </c>
      <c r="H20" s="5">
        <v>78</v>
      </c>
      <c r="I20" s="5">
        <f>Inventario[[#This Row],[Precio por bulto ($)]]/Inventario[[#This Row],[Cantidad de unidades por bulto]]</f>
        <v>2.6</v>
      </c>
      <c r="J20" s="28">
        <f>Inventario[[#This Row],[Existencia]]*Inventario[[#This Row],[Costo]]</f>
        <v>72</v>
      </c>
      <c r="K20" s="5">
        <f>Inventario[[#This Row],[Existencia]]*Inventario[[#This Row],[Precio]]</f>
        <v>20.8</v>
      </c>
    </row>
    <row r="21" spans="1:11" x14ac:dyDescent="0.3">
      <c r="A21" s="47">
        <v>14</v>
      </c>
      <c r="B21" s="4" t="s">
        <v>113</v>
      </c>
      <c r="C21" s="1" t="s">
        <v>3</v>
      </c>
      <c r="D21" s="48">
        <v>8</v>
      </c>
      <c r="E21" s="49">
        <v>10</v>
      </c>
      <c r="F21" s="28">
        <v>34</v>
      </c>
      <c r="G21" s="28">
        <f>Inventario[[#This Row],[Costo por bulto (R$)]]/Inventario[[#This Row],[Cantidad de unidades por bulto]]</f>
        <v>3.4</v>
      </c>
      <c r="H21" s="5">
        <v>9.85</v>
      </c>
      <c r="I21" s="5">
        <f>Inventario[[#This Row],[Precio por bulto ($)]]/Inventario[[#This Row],[Cantidad de unidades por bulto]]</f>
        <v>0.98499999999999999</v>
      </c>
      <c r="J21" s="28">
        <f>Inventario[[#This Row],[Existencia]]*Inventario[[#This Row],[Costo]]</f>
        <v>27.2</v>
      </c>
      <c r="K21" s="5">
        <f>Inventario[[#This Row],[Existencia]]*Inventario[[#This Row],[Precio]]</f>
        <v>7.88</v>
      </c>
    </row>
    <row r="22" spans="1:11" x14ac:dyDescent="0.3">
      <c r="A22" s="47">
        <v>15</v>
      </c>
      <c r="B22" s="4" t="s">
        <v>114</v>
      </c>
      <c r="C22" s="1" t="s">
        <v>7</v>
      </c>
      <c r="D22" s="48">
        <v>0</v>
      </c>
      <c r="E22" s="49">
        <v>1</v>
      </c>
      <c r="F22" s="28">
        <v>0</v>
      </c>
      <c r="G22" s="28">
        <f>Inventario[[#This Row],[Costo por bulto (R$)]]/Inventario[[#This Row],[Cantidad de unidades por bulto]]</f>
        <v>0</v>
      </c>
      <c r="H22" s="5">
        <v>0</v>
      </c>
      <c r="I22" s="5">
        <f>Inventario[[#This Row],[Precio por bulto ($)]]/Inventario[[#This Row],[Cantidad de unidades por bulto]]</f>
        <v>0</v>
      </c>
      <c r="J22" s="28">
        <f>Inventario[[#This Row],[Existencia]]*Inventario[[#This Row],[Costo]]</f>
        <v>0</v>
      </c>
      <c r="K22" s="5">
        <f>Inventario[[#This Row],[Existencia]]*Inventario[[#This Row],[Precio]]</f>
        <v>0</v>
      </c>
    </row>
    <row r="23" spans="1:11" x14ac:dyDescent="0.3">
      <c r="A23" s="47">
        <v>16</v>
      </c>
      <c r="B23" s="4" t="s">
        <v>115</v>
      </c>
      <c r="C23" s="1" t="s">
        <v>202</v>
      </c>
      <c r="D23" s="48">
        <v>92</v>
      </c>
      <c r="E23" s="49">
        <v>10</v>
      </c>
      <c r="F23" s="28">
        <v>54</v>
      </c>
      <c r="G23" s="28">
        <f>Inventario[[#This Row],[Costo por bulto (R$)]]/Inventario[[#This Row],[Cantidad de unidades por bulto]]</f>
        <v>5.4</v>
      </c>
      <c r="H23" s="5">
        <v>16</v>
      </c>
      <c r="I23" s="5">
        <f>Inventario[[#This Row],[Precio por bulto ($)]]/Inventario[[#This Row],[Cantidad de unidades por bulto]]</f>
        <v>1.6</v>
      </c>
      <c r="J23" s="28">
        <f>Inventario[[#This Row],[Existencia]]*Inventario[[#This Row],[Costo]]</f>
        <v>496.8</v>
      </c>
      <c r="K23" s="5">
        <f>Inventario[[#This Row],[Existencia]]*Inventario[[#This Row],[Precio]]</f>
        <v>147.20000000000002</v>
      </c>
    </row>
    <row r="24" spans="1:11" x14ac:dyDescent="0.3">
      <c r="A24" s="47">
        <v>29</v>
      </c>
      <c r="B24" s="4" t="s">
        <v>197</v>
      </c>
      <c r="C24" s="1" t="s">
        <v>198</v>
      </c>
      <c r="D24" s="48">
        <v>0</v>
      </c>
      <c r="E24" s="49">
        <v>50</v>
      </c>
      <c r="F24" s="35">
        <v>50</v>
      </c>
      <c r="G24" s="27">
        <f>Inventario[[#This Row],[Costo por bulto (R$)]]/Inventario[[#This Row],[Cantidad de unidades por bulto]]</f>
        <v>1</v>
      </c>
      <c r="H24" s="36">
        <v>11</v>
      </c>
      <c r="I24" s="33">
        <f>Inventario[[#This Row],[Precio por bulto ($)]]/Inventario[[#This Row],[Cantidad de unidades por bulto]]</f>
        <v>0.22</v>
      </c>
      <c r="J24" s="27">
        <f>Inventario[[#This Row],[Existencia]]*Inventario[[#This Row],[Costo]]</f>
        <v>0</v>
      </c>
      <c r="K24" s="34">
        <f>Inventario[[#This Row],[Existencia]]*Inventario[[#This Row],[Precio]]</f>
        <v>0</v>
      </c>
    </row>
    <row r="25" spans="1:11" x14ac:dyDescent="0.3">
      <c r="A25" s="47">
        <v>17</v>
      </c>
      <c r="B25" s="4" t="s">
        <v>116</v>
      </c>
      <c r="C25" s="1" t="s">
        <v>8</v>
      </c>
      <c r="D25" s="48">
        <v>52</v>
      </c>
      <c r="E25" s="49">
        <v>12</v>
      </c>
      <c r="F25" s="28">
        <v>11.67</v>
      </c>
      <c r="G25" s="28">
        <f>Inventario[[#This Row],[Costo por bulto (R$)]]/Inventario[[#This Row],[Cantidad de unidades por bulto]]</f>
        <v>0.97250000000000003</v>
      </c>
      <c r="H25" s="5">
        <v>4.22</v>
      </c>
      <c r="I25" s="5">
        <f>Inventario[[#This Row],[Precio por bulto ($)]]/Inventario[[#This Row],[Cantidad de unidades por bulto]]</f>
        <v>0.35166666666666663</v>
      </c>
      <c r="J25" s="28">
        <f>Inventario[[#This Row],[Existencia]]*Inventario[[#This Row],[Costo]]</f>
        <v>50.57</v>
      </c>
      <c r="K25" s="5">
        <f>Inventario[[#This Row],[Existencia]]*Inventario[[#This Row],[Precio]]</f>
        <v>18.286666666666665</v>
      </c>
    </row>
    <row r="26" spans="1:11" x14ac:dyDescent="0.3">
      <c r="A26" s="47">
        <v>18</v>
      </c>
      <c r="B26" s="4" t="s">
        <v>117</v>
      </c>
      <c r="C26" s="1" t="s">
        <v>9</v>
      </c>
      <c r="D26" s="48">
        <v>2</v>
      </c>
      <c r="E26" s="49">
        <v>25</v>
      </c>
      <c r="F26" s="28">
        <v>183</v>
      </c>
      <c r="G26" s="28">
        <f>Inventario[[#This Row],[Costo por bulto (R$)]]/Inventario[[#This Row],[Cantidad de unidades por bulto]]</f>
        <v>7.32</v>
      </c>
      <c r="H26" s="5">
        <v>45</v>
      </c>
      <c r="I26" s="5">
        <f>Inventario[[#This Row],[Precio por bulto ($)]]/Inventario[[#This Row],[Cantidad de unidades por bulto]]</f>
        <v>1.8</v>
      </c>
      <c r="J26" s="28">
        <f>Inventario[[#This Row],[Existencia]]*Inventario[[#This Row],[Costo]]</f>
        <v>14.64</v>
      </c>
      <c r="K26" s="5">
        <f>Inventario[[#This Row],[Existencia]]*Inventario[[#This Row],[Precio]]</f>
        <v>3.6</v>
      </c>
    </row>
    <row r="27" spans="1:11" x14ac:dyDescent="0.3">
      <c r="A27" s="47">
        <v>19</v>
      </c>
      <c r="B27" s="29" t="s">
        <v>118</v>
      </c>
      <c r="C27" s="1" t="s">
        <v>5</v>
      </c>
      <c r="D27" s="48">
        <v>20</v>
      </c>
      <c r="E27" s="49">
        <v>20</v>
      </c>
      <c r="F27" s="28">
        <v>250</v>
      </c>
      <c r="G27" s="28">
        <f>Inventario[[#This Row],[Costo por bulto (R$)]]/Inventario[[#This Row],[Cantidad de unidades por bulto]]</f>
        <v>12.5</v>
      </c>
      <c r="H27" s="5">
        <v>72.5</v>
      </c>
      <c r="I27" s="5">
        <f>Inventario[[#This Row],[Precio por bulto ($)]]/Inventario[[#This Row],[Cantidad de unidades por bulto]]</f>
        <v>3.625</v>
      </c>
      <c r="J27" s="28">
        <f>Inventario[[#This Row],[Existencia]]*Inventario[[#This Row],[Costo]]</f>
        <v>250</v>
      </c>
      <c r="K27" s="5">
        <f>Inventario[[#This Row],[Existencia]]*Inventario[[#This Row],[Precio]]</f>
        <v>72.5</v>
      </c>
    </row>
    <row r="28" spans="1:11" x14ac:dyDescent="0.3">
      <c r="A28" s="47">
        <v>20</v>
      </c>
      <c r="B28" s="29" t="s">
        <v>119</v>
      </c>
      <c r="C28" s="1" t="s">
        <v>4</v>
      </c>
      <c r="D28" s="48">
        <v>8</v>
      </c>
      <c r="E28" s="49">
        <v>24</v>
      </c>
      <c r="F28" s="28">
        <v>47</v>
      </c>
      <c r="G28" s="28">
        <f>Inventario[[#This Row],[Costo por bulto (R$)]]/Inventario[[#This Row],[Cantidad de unidades por bulto]]</f>
        <v>1.9583333333333333</v>
      </c>
      <c r="H28" s="5">
        <v>12.5</v>
      </c>
      <c r="I28" s="5">
        <f>Inventario[[#This Row],[Precio por bulto ($)]]/Inventario[[#This Row],[Cantidad de unidades por bulto]]</f>
        <v>0.52083333333333337</v>
      </c>
      <c r="J28" s="28">
        <f>Inventario[[#This Row],[Existencia]]*Inventario[[#This Row],[Costo]]</f>
        <v>15.666666666666666</v>
      </c>
      <c r="K28" s="5">
        <f>Inventario[[#This Row],[Existencia]]*Inventario[[#This Row],[Precio]]</f>
        <v>4.166666666666667</v>
      </c>
    </row>
    <row r="29" spans="1:11" x14ac:dyDescent="0.3">
      <c r="A29" s="47">
        <v>30</v>
      </c>
      <c r="B29" s="4" t="s">
        <v>227</v>
      </c>
      <c r="C29" s="1" t="s">
        <v>228</v>
      </c>
      <c r="D29" s="48">
        <v>0</v>
      </c>
      <c r="E29" s="49">
        <v>1</v>
      </c>
      <c r="F29" s="35">
        <v>100</v>
      </c>
      <c r="G29" s="27">
        <f>Inventario[[#This Row],[Costo por bulto (R$)]]/Inventario[[#This Row],[Cantidad de unidades por bulto]]</f>
        <v>100</v>
      </c>
      <c r="H29" s="36">
        <v>29</v>
      </c>
      <c r="I29" s="33">
        <f>Inventario[[#This Row],[Precio por bulto ($)]]/Inventario[[#This Row],[Cantidad de unidades por bulto]]</f>
        <v>29</v>
      </c>
      <c r="J29" s="27">
        <f>Inventario[[#This Row],[Existencia]]*Inventario[[#This Row],[Costo]]</f>
        <v>0</v>
      </c>
      <c r="K29" s="34">
        <f>Inventario[[#This Row],[Existencia]]*Inventario[[#This Row],[Precio]]</f>
        <v>0</v>
      </c>
    </row>
    <row r="30" spans="1:11" x14ac:dyDescent="0.3">
      <c r="A30" s="47">
        <v>21</v>
      </c>
      <c r="B30" s="4" t="s">
        <v>120</v>
      </c>
      <c r="C30" s="1" t="s">
        <v>4</v>
      </c>
      <c r="D30" s="48">
        <v>48</v>
      </c>
      <c r="E30" s="49">
        <v>24</v>
      </c>
      <c r="F30" s="28">
        <v>50</v>
      </c>
      <c r="G30" s="28">
        <f>Inventario[[#This Row],[Costo por bulto (R$)]]/Inventario[[#This Row],[Cantidad de unidades por bulto]]</f>
        <v>2.0833333333333335</v>
      </c>
      <c r="H30" s="5">
        <v>12.5</v>
      </c>
      <c r="I30" s="5">
        <f>Inventario[[#This Row],[Precio por bulto ($)]]/Inventario[[#This Row],[Cantidad de unidades por bulto]]</f>
        <v>0.52083333333333337</v>
      </c>
      <c r="J30" s="28">
        <f>Inventario[[#This Row],[Existencia]]*Inventario[[#This Row],[Costo]]</f>
        <v>100</v>
      </c>
      <c r="K30" s="5">
        <f>Inventario[[#This Row],[Existencia]]*Inventario[[#This Row],[Precio]]</f>
        <v>25</v>
      </c>
    </row>
    <row r="31" spans="1:11" x14ac:dyDescent="0.3">
      <c r="A31" s="47">
        <v>7896102509434</v>
      </c>
      <c r="B31" s="4" t="s">
        <v>208</v>
      </c>
      <c r="C31" s="1" t="s">
        <v>209</v>
      </c>
      <c r="D31" s="48">
        <v>138</v>
      </c>
      <c r="E31" s="49">
        <v>24</v>
      </c>
      <c r="F31" s="35">
        <v>33</v>
      </c>
      <c r="G31" s="27">
        <f>Inventario[[#This Row],[Costo por bulto (R$)]]/Inventario[[#This Row],[Cantidad de unidades por bulto]]</f>
        <v>1.375</v>
      </c>
      <c r="H31" s="36">
        <v>9</v>
      </c>
      <c r="I31" s="33">
        <f>Inventario[[#This Row],[Precio por bulto ($)]]/Inventario[[#This Row],[Cantidad de unidades por bulto]]</f>
        <v>0.375</v>
      </c>
      <c r="J31" s="27">
        <f>Inventario[[#This Row],[Existencia]]*Inventario[[#This Row],[Costo]]</f>
        <v>189.75</v>
      </c>
      <c r="K31" s="34">
        <f>Inventario[[#This Row],[Existencia]]*Inventario[[#This Row],[Precio]]</f>
        <v>51.75</v>
      </c>
    </row>
    <row r="32" spans="1:11" x14ac:dyDescent="0.3">
      <c r="A32" s="47">
        <v>22</v>
      </c>
      <c r="B32" s="29" t="s">
        <v>121</v>
      </c>
      <c r="C32" s="1" t="s">
        <v>10</v>
      </c>
      <c r="D32" s="48">
        <v>0</v>
      </c>
      <c r="E32" s="49">
        <v>1</v>
      </c>
      <c r="F32" s="28">
        <v>25</v>
      </c>
      <c r="G32" s="28">
        <f>Inventario[[#This Row],[Costo por bulto (R$)]]/Inventario[[#This Row],[Cantidad de unidades por bulto]]</f>
        <v>25</v>
      </c>
      <c r="H32" s="5">
        <v>7.05</v>
      </c>
      <c r="I32" s="5">
        <f>Inventario[[#This Row],[Precio por bulto ($)]]/Inventario[[#This Row],[Cantidad de unidades por bulto]]</f>
        <v>7.05</v>
      </c>
      <c r="J32" s="28">
        <f>Inventario[[#This Row],[Existencia]]*Inventario[[#This Row],[Costo]]</f>
        <v>0</v>
      </c>
      <c r="K32" s="5">
        <f>Inventario[[#This Row],[Existencia]]*Inventario[[#This Row],[Precio]]</f>
        <v>0</v>
      </c>
    </row>
    <row r="33" spans="1:11" x14ac:dyDescent="0.3">
      <c r="A33" s="47">
        <v>23</v>
      </c>
      <c r="B33" s="29" t="s">
        <v>122</v>
      </c>
      <c r="C33" s="1" t="s">
        <v>129</v>
      </c>
      <c r="D33" s="48">
        <v>0</v>
      </c>
      <c r="E33" s="49">
        <v>1</v>
      </c>
      <c r="F33" s="28">
        <v>25</v>
      </c>
      <c r="G33" s="28">
        <f>Inventario[[#This Row],[Costo por bulto (R$)]]/Inventario[[#This Row],[Cantidad de unidades por bulto]]</f>
        <v>25</v>
      </c>
      <c r="H33" s="5">
        <v>7.05</v>
      </c>
      <c r="I33" s="5">
        <f>Inventario[[#This Row],[Precio por bulto ($)]]/Inventario[[#This Row],[Cantidad de unidades por bulto]]</f>
        <v>7.05</v>
      </c>
      <c r="J33" s="28">
        <f>Inventario[[#This Row],[Existencia]]*Inventario[[#This Row],[Costo]]</f>
        <v>0</v>
      </c>
      <c r="K33" s="5">
        <f>Inventario[[#This Row],[Existencia]]*Inventario[[#This Row],[Precio]]</f>
        <v>0</v>
      </c>
    </row>
    <row r="34" spans="1:11" x14ac:dyDescent="0.3">
      <c r="A34" s="47">
        <v>24</v>
      </c>
      <c r="B34" s="29" t="s">
        <v>123</v>
      </c>
      <c r="C34" s="1" t="s">
        <v>10</v>
      </c>
      <c r="D34" s="48">
        <v>0</v>
      </c>
      <c r="E34" s="49">
        <v>1</v>
      </c>
      <c r="F34" s="28">
        <v>25</v>
      </c>
      <c r="G34" s="28">
        <f>Inventario[[#This Row],[Costo por bulto (R$)]]/Inventario[[#This Row],[Cantidad de unidades por bulto]]</f>
        <v>25</v>
      </c>
      <c r="H34" s="5">
        <v>7.05</v>
      </c>
      <c r="I34" s="5">
        <f>Inventario[[#This Row],[Precio por bulto ($)]]/Inventario[[#This Row],[Cantidad de unidades por bulto]]</f>
        <v>7.05</v>
      </c>
      <c r="J34" s="28">
        <f>Inventario[[#This Row],[Existencia]]*Inventario[[#This Row],[Costo]]</f>
        <v>0</v>
      </c>
      <c r="K34" s="5">
        <f>Inventario[[#This Row],[Existencia]]*Inventario[[#This Row],[Precio]]</f>
        <v>0</v>
      </c>
    </row>
    <row r="35" spans="1:11" x14ac:dyDescent="0.3">
      <c r="A35" s="47">
        <v>25</v>
      </c>
      <c r="B35" s="29" t="s">
        <v>124</v>
      </c>
      <c r="C35" s="1" t="s">
        <v>5</v>
      </c>
      <c r="D35" s="48">
        <v>0</v>
      </c>
      <c r="E35" s="49">
        <v>10</v>
      </c>
      <c r="F35" s="28">
        <v>70</v>
      </c>
      <c r="G35" s="28">
        <f>Inventario[[#This Row],[Costo por bulto (R$)]]/Inventario[[#This Row],[Cantidad de unidades por bulto]]</f>
        <v>7</v>
      </c>
      <c r="H35" s="5">
        <v>19.5</v>
      </c>
      <c r="I35" s="5">
        <f>Inventario[[#This Row],[Precio por bulto ($)]]/Inventario[[#This Row],[Cantidad de unidades por bulto]]</f>
        <v>1.95</v>
      </c>
      <c r="J35" s="28">
        <f>Inventario[[#This Row],[Existencia]]*Inventario[[#This Row],[Costo]]</f>
        <v>0</v>
      </c>
      <c r="K35" s="5">
        <f>Inventario[[#This Row],[Existencia]]*Inventario[[#This Row],[Precio]]</f>
        <v>0</v>
      </c>
    </row>
    <row r="36" spans="1:11" x14ac:dyDescent="0.3">
      <c r="A36" s="47">
        <v>26</v>
      </c>
      <c r="B36" s="29" t="s">
        <v>125</v>
      </c>
      <c r="C36" s="1" t="s">
        <v>3</v>
      </c>
      <c r="D36" s="48">
        <v>0</v>
      </c>
      <c r="E36" s="49">
        <v>30</v>
      </c>
      <c r="F36" s="28">
        <v>31</v>
      </c>
      <c r="G36" s="28">
        <f>Inventario[[#This Row],[Costo por bulto (R$)]]/Inventario[[#This Row],[Cantidad de unidades por bulto]]</f>
        <v>1.0333333333333334</v>
      </c>
      <c r="H36" s="5">
        <v>9</v>
      </c>
      <c r="I36" s="5">
        <f>Inventario[[#This Row],[Precio por bulto ($)]]/Inventario[[#This Row],[Cantidad de unidades por bulto]]</f>
        <v>0.3</v>
      </c>
      <c r="J36" s="28">
        <f>Inventario[[#This Row],[Existencia]]*Inventario[[#This Row],[Costo]]</f>
        <v>0</v>
      </c>
      <c r="K36" s="5">
        <f>Inventario[[#This Row],[Existencia]]*Inventario[[#This Row],[Precio]]</f>
        <v>0</v>
      </c>
    </row>
    <row r="37" spans="1:11" x14ac:dyDescent="0.3">
      <c r="A37" s="47">
        <v>27</v>
      </c>
      <c r="B37" s="29" t="s">
        <v>126</v>
      </c>
      <c r="C37" s="1" t="s">
        <v>128</v>
      </c>
      <c r="D37" s="48">
        <v>0</v>
      </c>
      <c r="E37" s="49">
        <v>1</v>
      </c>
      <c r="F37" s="28">
        <v>42</v>
      </c>
      <c r="G37" s="28">
        <f>Inventario[[#This Row],[Costo por bulto (R$)]]/Inventario[[#This Row],[Cantidad de unidades por bulto]]</f>
        <v>42</v>
      </c>
      <c r="H37" s="5">
        <v>13.5</v>
      </c>
      <c r="I37" s="5">
        <f>Inventario[[#This Row],[Precio por bulto ($)]]/Inventario[[#This Row],[Cantidad de unidades por bulto]]</f>
        <v>13.5</v>
      </c>
      <c r="J37" s="28">
        <f>Inventario[[#This Row],[Existencia]]*Inventario[[#This Row],[Costo]]</f>
        <v>0</v>
      </c>
      <c r="K37" s="5">
        <f>Inventario[[#This Row],[Existencia]]*Inventario[[#This Row],[Precio]]</f>
        <v>0</v>
      </c>
    </row>
    <row r="38" spans="1:11" x14ac:dyDescent="0.3">
      <c r="A38" s="47">
        <v>34</v>
      </c>
      <c r="B38" s="4" t="s">
        <v>233</v>
      </c>
      <c r="C38" s="1" t="s">
        <v>128</v>
      </c>
      <c r="D38" s="48">
        <v>0</v>
      </c>
      <c r="E38" s="49">
        <v>1</v>
      </c>
      <c r="F38" s="35">
        <v>37.5</v>
      </c>
      <c r="G38" s="27">
        <f>Inventario[[#This Row],[Costo por bulto (R$)]]/Inventario[[#This Row],[Cantidad de unidades por bulto]]</f>
        <v>37.5</v>
      </c>
      <c r="H38" s="36">
        <v>11</v>
      </c>
      <c r="I38" s="33">
        <f>Inventario[[#This Row],[Precio por bulto ($)]]/Inventario[[#This Row],[Cantidad de unidades por bulto]]</f>
        <v>11</v>
      </c>
      <c r="J38" s="27">
        <f>Inventario[[#This Row],[Existencia]]*Inventario[[#This Row],[Costo]]</f>
        <v>0</v>
      </c>
      <c r="K38" s="34">
        <f>Inventario[[#This Row],[Existencia]]*Inventario[[#This Row],[Precio]]</f>
        <v>0</v>
      </c>
    </row>
    <row r="39" spans="1:11" x14ac:dyDescent="0.3">
      <c r="A39" s="47">
        <v>28</v>
      </c>
      <c r="B39" s="29" t="s">
        <v>127</v>
      </c>
      <c r="C39" s="1" t="s">
        <v>130</v>
      </c>
      <c r="D39" s="48">
        <v>44</v>
      </c>
      <c r="E39" s="49">
        <v>24</v>
      </c>
      <c r="F39" s="28">
        <v>52</v>
      </c>
      <c r="G39" s="28">
        <f>Inventario[[#This Row],[Costo por bulto (R$)]]/Inventario[[#This Row],[Cantidad de unidades por bulto]]</f>
        <v>2.1666666666666665</v>
      </c>
      <c r="H39" s="5">
        <v>13.5</v>
      </c>
      <c r="I39" s="5">
        <f>Inventario[[#This Row],[Precio por bulto ($)]]/Inventario[[#This Row],[Cantidad de unidades por bulto]]</f>
        <v>0.5625</v>
      </c>
      <c r="J39" s="28">
        <f>Inventario[[#This Row],[Existencia]]*Inventario[[#This Row],[Costo]]</f>
        <v>95.333333333333329</v>
      </c>
      <c r="K39" s="5">
        <f>Inventario[[#This Row],[Existencia]]*Inventario[[#This Row],[Precio]]</f>
        <v>24.75</v>
      </c>
    </row>
    <row r="40" spans="1:11" x14ac:dyDescent="0.3">
      <c r="A40" s="47">
        <v>35</v>
      </c>
      <c r="B40" s="4" t="s">
        <v>234</v>
      </c>
      <c r="C40" s="1" t="s">
        <v>235</v>
      </c>
      <c r="D40" s="48">
        <v>5</v>
      </c>
      <c r="E40" s="49">
        <v>6</v>
      </c>
      <c r="F40" s="35">
        <v>45</v>
      </c>
      <c r="G40" s="27">
        <f>Inventario[[#This Row],[Costo por bulto (R$)]]/Inventario[[#This Row],[Cantidad de unidades por bulto]]</f>
        <v>7.5</v>
      </c>
      <c r="H40" s="36">
        <v>12</v>
      </c>
      <c r="I40" s="33">
        <f>Inventario[[#This Row],[Precio por bulto ($)]]/Inventario[[#This Row],[Cantidad de unidades por bulto]]</f>
        <v>2</v>
      </c>
      <c r="J40" s="27">
        <f>Inventario[[#This Row],[Existencia]]*Inventario[[#This Row],[Costo]]</f>
        <v>37.5</v>
      </c>
      <c r="K40" s="34">
        <f>Inventario[[#This Row],[Existencia]]*Inventario[[#This Row],[Precio]]</f>
        <v>10</v>
      </c>
    </row>
  </sheetData>
  <phoneticPr fontId="10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Q44"/>
  <sheetViews>
    <sheetView workbookViewId="0">
      <selection activeCell="D24" sqref="D24"/>
    </sheetView>
  </sheetViews>
  <sheetFormatPr defaultColWidth="11.5546875" defaultRowHeight="14.4" x14ac:dyDescent="0.3"/>
  <cols>
    <col min="1" max="1" width="21.44140625" customWidth="1"/>
    <col min="2" max="2" width="16.6640625" bestFit="1" customWidth="1"/>
    <col min="3" max="3" width="13.88671875" bestFit="1" customWidth="1"/>
    <col min="4" max="4" width="13.5546875" bestFit="1" customWidth="1"/>
    <col min="5" max="5" width="12.109375" bestFit="1" customWidth="1"/>
    <col min="6" max="6" width="17.33203125" bestFit="1" customWidth="1"/>
    <col min="7" max="7" width="18.109375" bestFit="1" customWidth="1"/>
    <col min="8" max="8" width="17.44140625" bestFit="1" customWidth="1"/>
    <col min="9" max="9" width="22.6640625" bestFit="1" customWidth="1"/>
    <col min="10" max="10" width="15.44140625" bestFit="1" customWidth="1"/>
    <col min="11" max="11" width="16.5546875" bestFit="1" customWidth="1"/>
    <col min="12" max="12" width="16.44140625" bestFit="1" customWidth="1"/>
    <col min="13" max="13" width="16.109375" bestFit="1" customWidth="1"/>
    <col min="15" max="15" width="13.33203125" bestFit="1" customWidth="1"/>
    <col min="16" max="16" width="16.6640625" bestFit="1" customWidth="1"/>
    <col min="17" max="17" width="17.88671875" bestFit="1" customWidth="1"/>
  </cols>
  <sheetData>
    <row r="1" spans="1:17" x14ac:dyDescent="0.3">
      <c r="A1" s="3" t="s">
        <v>20</v>
      </c>
      <c r="B1" s="3" t="s">
        <v>17</v>
      </c>
      <c r="C1" s="3" t="s">
        <v>18</v>
      </c>
      <c r="D1" s="3" t="s">
        <v>19</v>
      </c>
      <c r="E1" s="3" t="s">
        <v>29</v>
      </c>
      <c r="F1" s="3" t="s">
        <v>30</v>
      </c>
      <c r="G1" s="3" t="s">
        <v>31</v>
      </c>
      <c r="H1" s="3" t="s">
        <v>32</v>
      </c>
      <c r="I1" s="3" t="s">
        <v>63</v>
      </c>
      <c r="J1" s="3" t="s">
        <v>67</v>
      </c>
      <c r="K1" s="3" t="s">
        <v>66</v>
      </c>
      <c r="L1" s="3" t="s">
        <v>65</v>
      </c>
      <c r="M1" s="3" t="s">
        <v>64</v>
      </c>
      <c r="O1" t="s">
        <v>199</v>
      </c>
      <c r="P1" t="s">
        <v>200</v>
      </c>
      <c r="Q1" t="s">
        <v>201</v>
      </c>
    </row>
    <row r="2" spans="1:17" x14ac:dyDescent="0.3">
      <c r="A2" s="3" t="s">
        <v>210</v>
      </c>
      <c r="B2" s="4" t="s">
        <v>211</v>
      </c>
      <c r="C2" s="4" t="s">
        <v>134</v>
      </c>
      <c r="D2" s="3" t="s">
        <v>25</v>
      </c>
      <c r="E2" s="3" t="b">
        <v>1</v>
      </c>
      <c r="F2" s="3" t="b">
        <v>0</v>
      </c>
      <c r="G2" s="6">
        <v>50</v>
      </c>
      <c r="H2" s="6">
        <v>0</v>
      </c>
      <c r="I2" s="39">
        <f>'[1]V-10000029'!$J$1</f>
        <v>0</v>
      </c>
      <c r="J2" s="31">
        <v>0</v>
      </c>
      <c r="K2" s="27">
        <v>0</v>
      </c>
      <c r="L2" s="32">
        <v>0</v>
      </c>
      <c r="M2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</row>
    <row r="3" spans="1:17" x14ac:dyDescent="0.3">
      <c r="A3" s="3" t="s">
        <v>137</v>
      </c>
      <c r="B3" s="4" t="s">
        <v>138</v>
      </c>
      <c r="C3" s="4" t="s">
        <v>134</v>
      </c>
      <c r="D3" s="3" t="s">
        <v>25</v>
      </c>
      <c r="E3" s="3" t="b">
        <v>1</v>
      </c>
      <c r="F3" s="3" t="b">
        <v>0</v>
      </c>
      <c r="G3" s="6">
        <v>150</v>
      </c>
      <c r="H3" s="6">
        <v>18.680001602172865</v>
      </c>
      <c r="I3" s="39">
        <f>'[1]V-10000003'!$J$1</f>
        <v>0</v>
      </c>
      <c r="J3" s="31">
        <v>0</v>
      </c>
      <c r="K3" s="27">
        <v>0</v>
      </c>
      <c r="L3" s="32">
        <v>0</v>
      </c>
      <c r="M3" s="31">
        <f>Clientes[[#This Row],[Saldo Credito]]+Clientes[[#This Row],[Saldo Consignacion]]+Clientes[[#This Row],[Prestamo $]]+(Clientes[[#This Row],[Prestamo R$]]/[2]Dashboard!$J$3)+(Clientes[[#This Row],[Prestamo Bs]]/[2]Dashboard!$K$3)</f>
        <v>18.680001602172865</v>
      </c>
    </row>
    <row r="4" spans="1:17" x14ac:dyDescent="0.3">
      <c r="A4" s="3" t="s">
        <v>163</v>
      </c>
      <c r="B4" s="4" t="s">
        <v>164</v>
      </c>
      <c r="C4" s="4" t="s">
        <v>134</v>
      </c>
      <c r="D4" s="3" t="s">
        <v>25</v>
      </c>
      <c r="E4" s="3" t="b">
        <v>1</v>
      </c>
      <c r="F4" s="3" t="b">
        <v>1</v>
      </c>
      <c r="G4" s="6">
        <v>100</v>
      </c>
      <c r="H4" s="6">
        <v>0</v>
      </c>
      <c r="I4" s="39">
        <f>'[1]V-10000013'!$J$1</f>
        <v>4.3491666666666671</v>
      </c>
      <c r="J4" s="31">
        <v>0</v>
      </c>
      <c r="K4" s="27">
        <v>0</v>
      </c>
      <c r="L4" s="32">
        <v>0</v>
      </c>
      <c r="M4" s="31">
        <f>Clientes[[#This Row],[Saldo Credito]]+Clientes[[#This Row],[Saldo Consignacion]]+Clientes[[#This Row],[Prestamo $]]+(Clientes[[#This Row],[Prestamo R$]]/[2]Dashboard!$J$3)+(Clientes[[#This Row],[Prestamo Bs]]/[2]Dashboard!$K$3)</f>
        <v>4.3491666666666671</v>
      </c>
    </row>
    <row r="5" spans="1:17" x14ac:dyDescent="0.3">
      <c r="A5" s="3" t="s">
        <v>171</v>
      </c>
      <c r="B5" s="4" t="s">
        <v>172</v>
      </c>
      <c r="C5" s="4" t="s">
        <v>134</v>
      </c>
      <c r="D5" s="3" t="s">
        <v>25</v>
      </c>
      <c r="E5" s="3" t="b">
        <v>0</v>
      </c>
      <c r="F5" s="3" t="b">
        <v>0</v>
      </c>
      <c r="G5" s="6">
        <v>0</v>
      </c>
      <c r="H5" s="6">
        <v>0</v>
      </c>
      <c r="I5" s="39">
        <f>'[1]V-10000017'!$J$1</f>
        <v>0</v>
      </c>
      <c r="J5" s="31">
        <v>0</v>
      </c>
      <c r="K5" s="27">
        <v>0</v>
      </c>
      <c r="L5" s="32">
        <v>0</v>
      </c>
      <c r="M5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</row>
    <row r="6" spans="1:17" x14ac:dyDescent="0.3">
      <c r="A6" s="3" t="s">
        <v>159</v>
      </c>
      <c r="B6" s="4" t="s">
        <v>160</v>
      </c>
      <c r="C6" s="4" t="s">
        <v>134</v>
      </c>
      <c r="D6" s="3" t="s">
        <v>25</v>
      </c>
      <c r="E6" s="3" t="b">
        <v>0</v>
      </c>
      <c r="F6" s="3" t="b">
        <v>1</v>
      </c>
      <c r="G6" s="6">
        <v>0</v>
      </c>
      <c r="H6" s="6">
        <v>0</v>
      </c>
      <c r="I6" s="39">
        <f>'[1]V-10000011'!$J$1</f>
        <v>84.890641025641017</v>
      </c>
      <c r="J6" s="31">
        <v>0</v>
      </c>
      <c r="K6" s="27">
        <v>0</v>
      </c>
      <c r="L6" s="32">
        <v>0</v>
      </c>
      <c r="M6" s="31">
        <f>Clientes[[#This Row],[Saldo Credito]]+Clientes[[#This Row],[Saldo Consignacion]]+Clientes[[#This Row],[Prestamo $]]+(Clientes[[#This Row],[Prestamo R$]]/[2]Dashboard!$J$3)+(Clientes[[#This Row],[Prestamo Bs]]/[2]Dashboard!$K$3)</f>
        <v>84.890641025641017</v>
      </c>
    </row>
    <row r="7" spans="1:17" x14ac:dyDescent="0.3">
      <c r="A7" s="3" t="s">
        <v>181</v>
      </c>
      <c r="B7" s="4" t="s">
        <v>182</v>
      </c>
      <c r="C7" s="4" t="s">
        <v>134</v>
      </c>
      <c r="D7" s="3" t="s">
        <v>25</v>
      </c>
      <c r="E7" s="3" t="b">
        <v>0</v>
      </c>
      <c r="F7" s="3" t="b">
        <v>0</v>
      </c>
      <c r="G7" s="6">
        <v>0</v>
      </c>
      <c r="H7" s="6">
        <v>0</v>
      </c>
      <c r="I7" s="39">
        <f>'[1]V-10000022'!$J$1</f>
        <v>0</v>
      </c>
      <c r="J7" s="31">
        <v>0</v>
      </c>
      <c r="K7" s="27">
        <v>0</v>
      </c>
      <c r="L7" s="32">
        <v>0</v>
      </c>
      <c r="M7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</row>
    <row r="8" spans="1:17" x14ac:dyDescent="0.3">
      <c r="A8" s="3" t="s">
        <v>241</v>
      </c>
      <c r="B8" s="4" t="s">
        <v>242</v>
      </c>
      <c r="C8" s="4" t="s">
        <v>224</v>
      </c>
      <c r="D8" s="3" t="s">
        <v>25</v>
      </c>
      <c r="E8" s="3" t="b">
        <v>0</v>
      </c>
      <c r="F8" s="3" t="b">
        <v>0</v>
      </c>
      <c r="G8" s="6">
        <v>0</v>
      </c>
      <c r="H8" s="6">
        <v>0</v>
      </c>
      <c r="I8" s="6">
        <f>'[1]V-10000036'!$J$1</f>
        <v>0</v>
      </c>
      <c r="J8" s="31">
        <v>0</v>
      </c>
      <c r="K8" s="27">
        <v>0</v>
      </c>
      <c r="L8" s="32">
        <v>0</v>
      </c>
      <c r="M8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</row>
    <row r="9" spans="1:17" x14ac:dyDescent="0.3">
      <c r="A9" s="3" t="s">
        <v>167</v>
      </c>
      <c r="B9" s="4" t="s">
        <v>168</v>
      </c>
      <c r="C9" s="4" t="s">
        <v>134</v>
      </c>
      <c r="D9" s="3" t="s">
        <v>25</v>
      </c>
      <c r="E9" s="3" t="b">
        <v>1</v>
      </c>
      <c r="F9" s="3" t="b">
        <v>1</v>
      </c>
      <c r="G9" s="6">
        <v>150</v>
      </c>
      <c r="H9" s="6">
        <v>0</v>
      </c>
      <c r="I9" s="39">
        <f>'[1]V-10000015'!$J$1</f>
        <v>0</v>
      </c>
      <c r="J9" s="31">
        <v>0</v>
      </c>
      <c r="K9" s="27">
        <v>0</v>
      </c>
      <c r="L9" s="32">
        <v>0</v>
      </c>
      <c r="M9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</row>
    <row r="10" spans="1:17" x14ac:dyDescent="0.3">
      <c r="A10" s="3" t="s">
        <v>222</v>
      </c>
      <c r="B10" s="4" t="s">
        <v>223</v>
      </c>
      <c r="C10" s="4" t="s">
        <v>224</v>
      </c>
      <c r="D10" s="3" t="s">
        <v>25</v>
      </c>
      <c r="E10" s="3" t="b">
        <v>1</v>
      </c>
      <c r="F10" s="3" t="b">
        <v>1</v>
      </c>
      <c r="G10" s="6">
        <v>100</v>
      </c>
      <c r="H10" s="6">
        <v>0</v>
      </c>
      <c r="I10" s="6">
        <f>'[1]V-10000033'!$J$1</f>
        <v>161.56038461538463</v>
      </c>
      <c r="J10" s="31">
        <v>0</v>
      </c>
      <c r="K10" s="27">
        <v>0</v>
      </c>
      <c r="L10" s="32">
        <v>0</v>
      </c>
      <c r="M10" s="31">
        <f>Clientes[[#This Row],[Saldo Credito]]+Clientes[[#This Row],[Saldo Consignacion]]+Clientes[[#This Row],[Prestamo $]]+(Clientes[[#This Row],[Prestamo R$]]/[2]Dashboard!$J$3)+(Clientes[[#This Row],[Prestamo Bs]]/[2]Dashboard!$K$3)</f>
        <v>161.56038461538463</v>
      </c>
    </row>
    <row r="11" spans="1:17" x14ac:dyDescent="0.3">
      <c r="A11" s="3" t="s">
        <v>243</v>
      </c>
      <c r="B11" s="4" t="s">
        <v>244</v>
      </c>
      <c r="C11" s="4" t="s">
        <v>224</v>
      </c>
      <c r="D11" s="3" t="s">
        <v>25</v>
      </c>
      <c r="E11" s="3" t="b">
        <v>1</v>
      </c>
      <c r="F11" s="3" t="b">
        <v>1</v>
      </c>
      <c r="G11" s="6">
        <v>100</v>
      </c>
      <c r="H11" s="6">
        <v>68.75</v>
      </c>
      <c r="I11" s="6">
        <f>'[1]J-100000001'!$J$1</f>
        <v>0</v>
      </c>
      <c r="J11" s="31">
        <v>0</v>
      </c>
      <c r="K11" s="27">
        <v>0</v>
      </c>
      <c r="L11" s="32">
        <v>0</v>
      </c>
      <c r="M11" s="31">
        <f>Clientes[[#This Row],[Saldo Credito]]+Clientes[[#This Row],[Saldo Consignacion]]+Clientes[[#This Row],[Prestamo $]]+(Clientes[[#This Row],[Prestamo R$]]/[2]Dashboard!$J$3)+(Clientes[[#This Row],[Prestamo Bs]]/[2]Dashboard!$K$3)</f>
        <v>68.75</v>
      </c>
    </row>
    <row r="12" spans="1:17" x14ac:dyDescent="0.3">
      <c r="A12" s="3" t="s">
        <v>139</v>
      </c>
      <c r="B12" s="4" t="s">
        <v>140</v>
      </c>
      <c r="C12" s="4" t="s">
        <v>134</v>
      </c>
      <c r="D12" s="3" t="s">
        <v>25</v>
      </c>
      <c r="E12" s="3" t="b">
        <v>1</v>
      </c>
      <c r="F12" s="3" t="b">
        <v>0</v>
      </c>
      <c r="G12" s="6">
        <v>200</v>
      </c>
      <c r="H12" s="6">
        <v>11</v>
      </c>
      <c r="I12" s="39">
        <f>'[1]V-10000004'!$J$1</f>
        <v>0</v>
      </c>
      <c r="J12" s="31">
        <v>0</v>
      </c>
      <c r="K12" s="27">
        <v>0</v>
      </c>
      <c r="L12" s="32">
        <v>0</v>
      </c>
      <c r="M12" s="31">
        <f>Clientes[[#This Row],[Saldo Credito]]+Clientes[[#This Row],[Saldo Consignacion]]+Clientes[[#This Row],[Prestamo $]]+(Clientes[[#This Row],[Prestamo R$]]/[2]Dashboard!$J$3)+(Clientes[[#This Row],[Prestamo Bs]]/[2]Dashboard!$K$3)</f>
        <v>11</v>
      </c>
    </row>
    <row r="13" spans="1:17" x14ac:dyDescent="0.3">
      <c r="A13" s="3" t="s">
        <v>173</v>
      </c>
      <c r="B13" s="4" t="s">
        <v>174</v>
      </c>
      <c r="C13" s="4" t="s">
        <v>134</v>
      </c>
      <c r="D13" s="3" t="s">
        <v>25</v>
      </c>
      <c r="E13" s="3" t="b">
        <v>0</v>
      </c>
      <c r="F13" s="3" t="b">
        <v>0</v>
      </c>
      <c r="G13" s="6">
        <v>0</v>
      </c>
      <c r="H13" s="6">
        <v>0</v>
      </c>
      <c r="I13" s="39">
        <f>'[1]V-10000018'!$J$1</f>
        <v>0</v>
      </c>
      <c r="J13" s="31">
        <v>0</v>
      </c>
      <c r="K13" s="27">
        <v>0</v>
      </c>
      <c r="L13" s="32">
        <v>0</v>
      </c>
      <c r="M13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</row>
    <row r="14" spans="1:17" x14ac:dyDescent="0.3">
      <c r="A14" s="3" t="s">
        <v>24</v>
      </c>
      <c r="B14" s="4" t="s">
        <v>26</v>
      </c>
      <c r="C14" s="4" t="s">
        <v>27</v>
      </c>
      <c r="D14" s="3" t="s">
        <v>25</v>
      </c>
      <c r="E14" s="3" t="b">
        <v>0</v>
      </c>
      <c r="F14" s="3" t="b">
        <v>0</v>
      </c>
      <c r="G14" s="6">
        <v>0</v>
      </c>
      <c r="H14" s="6">
        <v>0</v>
      </c>
      <c r="I14" s="6">
        <v>0</v>
      </c>
      <c r="J14" s="31">
        <v>0</v>
      </c>
      <c r="K14" s="27">
        <v>0</v>
      </c>
      <c r="L14" s="32">
        <v>0</v>
      </c>
      <c r="M14" s="6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14">
        <v>0</v>
      </c>
      <c r="P14">
        <v>0</v>
      </c>
      <c r="Q14">
        <v>0</v>
      </c>
    </row>
    <row r="15" spans="1:17" x14ac:dyDescent="0.3">
      <c r="A15" s="3" t="s">
        <v>248</v>
      </c>
      <c r="B15" s="4" t="s">
        <v>249</v>
      </c>
      <c r="C15" s="4" t="s">
        <v>224</v>
      </c>
      <c r="D15" s="3" t="s">
        <v>25</v>
      </c>
      <c r="E15" s="3" t="b">
        <v>0</v>
      </c>
      <c r="F15" s="3" t="b">
        <v>0</v>
      </c>
      <c r="G15" s="6">
        <v>0</v>
      </c>
      <c r="H15" s="6">
        <v>0</v>
      </c>
      <c r="I15" s="6">
        <f>'[1]V-10000038'!$J$1</f>
        <v>0</v>
      </c>
      <c r="J15" s="31">
        <v>0</v>
      </c>
      <c r="K15" s="27">
        <v>0</v>
      </c>
      <c r="L15" s="32">
        <v>0</v>
      </c>
      <c r="M15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15">
        <v>0</v>
      </c>
      <c r="P15">
        <v>0</v>
      </c>
      <c r="Q15">
        <v>0</v>
      </c>
    </row>
    <row r="16" spans="1:17" x14ac:dyDescent="0.3">
      <c r="A16" s="3" t="s">
        <v>33</v>
      </c>
      <c r="B16" s="4" t="s">
        <v>156</v>
      </c>
      <c r="C16" s="4" t="s">
        <v>157</v>
      </c>
      <c r="D16" s="3" t="s">
        <v>158</v>
      </c>
      <c r="E16" s="3" t="b">
        <v>1</v>
      </c>
      <c r="F16" s="3" t="b">
        <v>1</v>
      </c>
      <c r="G16" s="6">
        <v>100</v>
      </c>
      <c r="H16" s="6">
        <v>0</v>
      </c>
      <c r="I16" s="39">
        <f>'[1]V-10553146'!$J$1</f>
        <v>0</v>
      </c>
      <c r="J16" s="31">
        <v>0</v>
      </c>
      <c r="K16" s="27">
        <v>0</v>
      </c>
      <c r="L16" s="32">
        <v>0</v>
      </c>
      <c r="M16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16">
        <v>0</v>
      </c>
      <c r="P16">
        <v>0</v>
      </c>
      <c r="Q16">
        <v>0</v>
      </c>
    </row>
    <row r="17" spans="1:17" x14ac:dyDescent="0.3">
      <c r="A17" s="3" t="s">
        <v>193</v>
      </c>
      <c r="B17" s="4" t="s">
        <v>194</v>
      </c>
      <c r="C17" s="4" t="s">
        <v>157</v>
      </c>
      <c r="D17" s="3" t="s">
        <v>195</v>
      </c>
      <c r="E17" s="3" t="b">
        <v>1</v>
      </c>
      <c r="F17" s="3" t="b">
        <v>0</v>
      </c>
      <c r="G17" s="6">
        <v>50</v>
      </c>
      <c r="H17" s="6">
        <v>0</v>
      </c>
      <c r="I17" s="39">
        <f>'[1]V-10000028'!$J$1</f>
        <v>0</v>
      </c>
      <c r="J17" s="31">
        <v>0</v>
      </c>
      <c r="K17" s="27">
        <v>95</v>
      </c>
      <c r="L17" s="32">
        <v>0</v>
      </c>
      <c r="M17" s="31">
        <f>Clientes[[#This Row],[Saldo Credito]]+Clientes[[#This Row],[Saldo Consignacion]]+Clientes[[#This Row],[Prestamo $]]+(Clientes[[#This Row],[Prestamo R$]]/[2]Dashboard!$J$3)+(Clientes[[#This Row],[Prestamo Bs]]/[2]Dashboard!$K$3)</f>
        <v>21.111111111111111</v>
      </c>
      <c r="O17">
        <v>0</v>
      </c>
      <c r="P17">
        <v>0</v>
      </c>
      <c r="Q17">
        <v>0</v>
      </c>
    </row>
    <row r="18" spans="1:17" x14ac:dyDescent="0.3">
      <c r="A18" s="3" t="s">
        <v>151</v>
      </c>
      <c r="B18" s="4" t="s">
        <v>152</v>
      </c>
      <c r="C18" s="4" t="s">
        <v>134</v>
      </c>
      <c r="D18" s="3" t="s">
        <v>153</v>
      </c>
      <c r="E18" s="3" t="b">
        <v>1</v>
      </c>
      <c r="F18" s="3" t="b">
        <v>1</v>
      </c>
      <c r="G18" s="6">
        <v>100</v>
      </c>
      <c r="H18" s="6">
        <v>93.159999815821649</v>
      </c>
      <c r="I18" s="39">
        <f>'[1]V-10000010'!$J$1</f>
        <v>0</v>
      </c>
      <c r="J18" s="31">
        <v>0</v>
      </c>
      <c r="K18" s="27">
        <v>0</v>
      </c>
      <c r="L18" s="32">
        <v>0</v>
      </c>
      <c r="M18" s="31">
        <f>Clientes[[#This Row],[Saldo Credito]]+Clientes[[#This Row],[Saldo Consignacion]]+Clientes[[#This Row],[Prestamo $]]+(Clientes[[#This Row],[Prestamo R$]]/[2]Dashboard!$J$3)+(Clientes[[#This Row],[Prestamo Bs]]/[2]Dashboard!$K$3)</f>
        <v>93.159999815821649</v>
      </c>
      <c r="O18">
        <v>0</v>
      </c>
      <c r="P18">
        <v>0</v>
      </c>
      <c r="Q18">
        <v>0</v>
      </c>
    </row>
    <row r="19" spans="1:17" x14ac:dyDescent="0.3">
      <c r="A19" s="3" t="s">
        <v>143</v>
      </c>
      <c r="B19" s="4" t="s">
        <v>144</v>
      </c>
      <c r="C19" s="4" t="s">
        <v>134</v>
      </c>
      <c r="D19" s="3" t="s">
        <v>25</v>
      </c>
      <c r="E19" s="3" t="b">
        <v>1</v>
      </c>
      <c r="F19" s="3" t="b">
        <v>0</v>
      </c>
      <c r="G19" s="6">
        <v>250</v>
      </c>
      <c r="H19" s="6">
        <v>3.85</v>
      </c>
      <c r="I19" s="39">
        <f>'[1]V-10000006'!$J$1</f>
        <v>0</v>
      </c>
      <c r="J19" s="31">
        <v>0</v>
      </c>
      <c r="K19" s="27">
        <v>0</v>
      </c>
      <c r="L19" s="32">
        <v>0</v>
      </c>
      <c r="M19" s="31">
        <f>Clientes[[#This Row],[Saldo Credito]]+Clientes[[#This Row],[Saldo Consignacion]]+Clientes[[#This Row],[Prestamo $]]+(Clientes[[#This Row],[Prestamo R$]]/[2]Dashboard!$J$3)+(Clientes[[#This Row],[Prestamo Bs]]/[2]Dashboard!$K$3)</f>
        <v>3.85</v>
      </c>
      <c r="O19">
        <v>0</v>
      </c>
      <c r="P19">
        <v>0</v>
      </c>
      <c r="Q19">
        <v>0</v>
      </c>
    </row>
    <row r="20" spans="1:17" x14ac:dyDescent="0.3">
      <c r="A20" s="3" t="s">
        <v>191</v>
      </c>
      <c r="B20" s="4" t="s">
        <v>192</v>
      </c>
      <c r="C20" s="4" t="s">
        <v>157</v>
      </c>
      <c r="D20" s="3" t="s">
        <v>25</v>
      </c>
      <c r="E20" s="3" t="b">
        <v>1</v>
      </c>
      <c r="F20" s="3" t="b">
        <v>0</v>
      </c>
      <c r="G20" s="6">
        <v>100</v>
      </c>
      <c r="H20" s="6">
        <v>0</v>
      </c>
      <c r="I20" s="39">
        <f>'[1]V-10000027'!$J$1</f>
        <v>0</v>
      </c>
      <c r="J20" s="31">
        <v>-400</v>
      </c>
      <c r="K20" s="27">
        <v>0</v>
      </c>
      <c r="L20" s="32">
        <v>0</v>
      </c>
      <c r="M20" s="31">
        <f>Clientes[[#This Row],[Saldo Credito]]+Clientes[[#This Row],[Saldo Consignacion]]+Clientes[[#This Row],[Prestamo $]]+(Clientes[[#This Row],[Prestamo R$]]/[2]Dashboard!$J$3)+(Clientes[[#This Row],[Prestamo Bs]]/[2]Dashboard!$K$3)</f>
        <v>-400</v>
      </c>
      <c r="O20">
        <v>0</v>
      </c>
      <c r="P20">
        <v>0</v>
      </c>
      <c r="Q20">
        <v>0</v>
      </c>
    </row>
    <row r="21" spans="1:17" x14ac:dyDescent="0.3">
      <c r="A21" s="3" t="s">
        <v>165</v>
      </c>
      <c r="B21" s="4" t="s">
        <v>166</v>
      </c>
      <c r="C21" s="4" t="s">
        <v>134</v>
      </c>
      <c r="D21" s="3" t="s">
        <v>25</v>
      </c>
      <c r="E21" s="3" t="b">
        <v>1</v>
      </c>
      <c r="F21" s="3" t="b">
        <v>1</v>
      </c>
      <c r="G21" s="6">
        <v>50</v>
      </c>
      <c r="H21" s="6">
        <v>0</v>
      </c>
      <c r="I21" s="39">
        <f>'[1]V-10000014'!$J$1</f>
        <v>0</v>
      </c>
      <c r="J21" s="31">
        <v>0</v>
      </c>
      <c r="K21" s="27">
        <v>0</v>
      </c>
      <c r="L21" s="32">
        <v>0</v>
      </c>
      <c r="M21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21">
        <v>0</v>
      </c>
      <c r="P21">
        <v>0</v>
      </c>
      <c r="Q21">
        <v>0</v>
      </c>
    </row>
    <row r="22" spans="1:17" x14ac:dyDescent="0.3">
      <c r="A22" s="3" t="s">
        <v>132</v>
      </c>
      <c r="B22" s="4" t="s">
        <v>133</v>
      </c>
      <c r="C22" s="4" t="s">
        <v>134</v>
      </c>
      <c r="D22" s="3" t="s">
        <v>25</v>
      </c>
      <c r="E22" s="3" t="b">
        <v>1</v>
      </c>
      <c r="F22" s="3" t="b">
        <v>0</v>
      </c>
      <c r="G22" s="6">
        <v>0</v>
      </c>
      <c r="H22" s="6">
        <v>0</v>
      </c>
      <c r="I22" s="39">
        <f>'[1]V-10000001'!$J$1</f>
        <v>0</v>
      </c>
      <c r="J22" s="31">
        <v>0</v>
      </c>
      <c r="K22" s="27">
        <v>0</v>
      </c>
      <c r="L22" s="32">
        <v>0</v>
      </c>
      <c r="M22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22">
        <v>0</v>
      </c>
      <c r="P22">
        <v>0</v>
      </c>
      <c r="Q22">
        <v>0</v>
      </c>
    </row>
    <row r="23" spans="1:17" x14ac:dyDescent="0.3">
      <c r="A23" s="3" t="s">
        <v>179</v>
      </c>
      <c r="B23" s="4" t="s">
        <v>180</v>
      </c>
      <c r="C23" s="4" t="s">
        <v>134</v>
      </c>
      <c r="D23" s="3" t="s">
        <v>25</v>
      </c>
      <c r="E23" s="3" t="b">
        <v>0</v>
      </c>
      <c r="F23" s="3" t="b">
        <v>0</v>
      </c>
      <c r="G23" s="6">
        <v>0</v>
      </c>
      <c r="H23" s="6">
        <v>0</v>
      </c>
      <c r="I23" s="39">
        <f>'[1]V-10000021'!$J$1</f>
        <v>0</v>
      </c>
      <c r="J23" s="31">
        <v>0</v>
      </c>
      <c r="K23" s="27">
        <v>0</v>
      </c>
      <c r="L23" s="32">
        <v>0</v>
      </c>
      <c r="M23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23">
        <v>0</v>
      </c>
      <c r="P23">
        <v>0</v>
      </c>
      <c r="Q23">
        <v>0</v>
      </c>
    </row>
    <row r="24" spans="1:17" x14ac:dyDescent="0.3">
      <c r="A24" s="3" t="s">
        <v>239</v>
      </c>
      <c r="B24" s="4" t="s">
        <v>240</v>
      </c>
      <c r="C24" s="4" t="s">
        <v>224</v>
      </c>
      <c r="D24" s="3" t="s">
        <v>25</v>
      </c>
      <c r="E24" s="3" t="b">
        <v>0</v>
      </c>
      <c r="F24" s="3" t="b">
        <v>0</v>
      </c>
      <c r="G24" s="6">
        <v>0</v>
      </c>
      <c r="H24" s="6">
        <v>0</v>
      </c>
      <c r="I24" s="6">
        <f>'[1]V-10000035'!$J$1</f>
        <v>0</v>
      </c>
      <c r="J24" s="31">
        <v>0</v>
      </c>
      <c r="K24" s="27">
        <v>0</v>
      </c>
      <c r="L24" s="32">
        <v>0</v>
      </c>
      <c r="M24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24">
        <v>0</v>
      </c>
      <c r="P24">
        <v>0</v>
      </c>
      <c r="Q24">
        <v>95</v>
      </c>
    </row>
    <row r="25" spans="1:17" x14ac:dyDescent="0.3">
      <c r="A25" s="3" t="s">
        <v>212</v>
      </c>
      <c r="B25" s="4" t="s">
        <v>213</v>
      </c>
      <c r="C25" s="4" t="s">
        <v>134</v>
      </c>
      <c r="D25" s="3" t="s">
        <v>25</v>
      </c>
      <c r="E25" s="3" t="b">
        <v>0</v>
      </c>
      <c r="F25" s="3" t="b">
        <v>0</v>
      </c>
      <c r="G25" s="6">
        <v>0</v>
      </c>
      <c r="H25" s="6">
        <v>0</v>
      </c>
      <c r="I25" s="39">
        <f>'[1]V-10000030'!$J$1</f>
        <v>0</v>
      </c>
      <c r="J25" s="31">
        <v>0</v>
      </c>
      <c r="K25" s="27">
        <v>0</v>
      </c>
      <c r="L25" s="32">
        <v>0</v>
      </c>
      <c r="M25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25">
        <v>30.92</v>
      </c>
      <c r="P25">
        <v>0</v>
      </c>
      <c r="Q25">
        <v>0</v>
      </c>
    </row>
    <row r="26" spans="1:17" x14ac:dyDescent="0.3">
      <c r="A26" s="3" t="s">
        <v>216</v>
      </c>
      <c r="B26" s="4" t="s">
        <v>217</v>
      </c>
      <c r="C26" s="4" t="s">
        <v>134</v>
      </c>
      <c r="D26" s="3" t="s">
        <v>25</v>
      </c>
      <c r="E26" s="3" t="b">
        <v>0</v>
      </c>
      <c r="F26" s="3" t="b">
        <v>0</v>
      </c>
      <c r="G26" s="6">
        <v>0</v>
      </c>
      <c r="H26" s="6">
        <v>0</v>
      </c>
      <c r="I26" s="39">
        <f>'[1]V-10000032'!$J$1</f>
        <v>0</v>
      </c>
      <c r="J26" s="31">
        <v>0</v>
      </c>
      <c r="K26" s="27">
        <v>0</v>
      </c>
      <c r="L26" s="32">
        <v>0</v>
      </c>
      <c r="M26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26">
        <v>3.85</v>
      </c>
      <c r="P26">
        <v>0</v>
      </c>
      <c r="Q26">
        <v>0</v>
      </c>
    </row>
    <row r="27" spans="1:17" x14ac:dyDescent="0.3">
      <c r="A27" s="3" t="s">
        <v>183</v>
      </c>
      <c r="B27" s="4" t="s">
        <v>184</v>
      </c>
      <c r="C27" s="4" t="s">
        <v>134</v>
      </c>
      <c r="D27" s="3" t="s">
        <v>25</v>
      </c>
      <c r="E27" s="3" t="b">
        <v>0</v>
      </c>
      <c r="F27" s="3" t="b">
        <v>0</v>
      </c>
      <c r="G27" s="6">
        <v>0</v>
      </c>
      <c r="H27" s="6">
        <v>0</v>
      </c>
      <c r="I27" s="39">
        <f>'[1]V-10000023'!$J$1</f>
        <v>0</v>
      </c>
      <c r="J27" s="31">
        <v>0</v>
      </c>
      <c r="K27" s="27">
        <v>0</v>
      </c>
      <c r="L27" s="32">
        <v>0</v>
      </c>
      <c r="M27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27">
        <v>0</v>
      </c>
      <c r="P27">
        <v>-400</v>
      </c>
      <c r="Q27">
        <v>0</v>
      </c>
    </row>
    <row r="28" spans="1:17" x14ac:dyDescent="0.3">
      <c r="A28" s="3" t="s">
        <v>245</v>
      </c>
      <c r="B28" s="4" t="s">
        <v>246</v>
      </c>
      <c r="C28" s="4" t="s">
        <v>247</v>
      </c>
      <c r="D28" s="3" t="s">
        <v>25</v>
      </c>
      <c r="E28" s="3" t="b">
        <v>1</v>
      </c>
      <c r="F28" s="3" t="b">
        <v>0</v>
      </c>
      <c r="G28" s="6">
        <v>100</v>
      </c>
      <c r="H28" s="6">
        <v>0</v>
      </c>
      <c r="I28" s="6">
        <f>'[1]V-10000037'!$J$1</f>
        <v>0</v>
      </c>
      <c r="J28" s="31">
        <v>0</v>
      </c>
      <c r="K28" s="27">
        <v>0</v>
      </c>
      <c r="L28" s="32">
        <v>0</v>
      </c>
      <c r="M28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28">
        <v>0</v>
      </c>
      <c r="P28">
        <v>0</v>
      </c>
      <c r="Q28">
        <v>0</v>
      </c>
    </row>
    <row r="29" spans="1:17" x14ac:dyDescent="0.3">
      <c r="A29" s="3" t="s">
        <v>147</v>
      </c>
      <c r="B29" s="4" t="s">
        <v>148</v>
      </c>
      <c r="C29" s="4" t="s">
        <v>134</v>
      </c>
      <c r="D29" s="3" t="s">
        <v>25</v>
      </c>
      <c r="E29" s="3" t="b">
        <v>1</v>
      </c>
      <c r="F29" s="3" t="b">
        <v>0</v>
      </c>
      <c r="G29" s="6">
        <v>50</v>
      </c>
      <c r="H29" s="6">
        <v>3</v>
      </c>
      <c r="I29" s="39">
        <f>'[1]V-10000008'!$J$1</f>
        <v>0</v>
      </c>
      <c r="J29" s="31">
        <v>0</v>
      </c>
      <c r="K29" s="27">
        <v>0</v>
      </c>
      <c r="L29" s="32">
        <v>0</v>
      </c>
      <c r="M29" s="31">
        <f>Clientes[[#This Row],[Saldo Credito]]+Clientes[[#This Row],[Saldo Consignacion]]+Clientes[[#This Row],[Prestamo $]]+(Clientes[[#This Row],[Prestamo R$]]/[2]Dashboard!$J$3)+(Clientes[[#This Row],[Prestamo Bs]]/[2]Dashboard!$K$3)</f>
        <v>3</v>
      </c>
      <c r="O29">
        <v>71.540000000000006</v>
      </c>
      <c r="P29">
        <v>0</v>
      </c>
      <c r="Q29">
        <v>0</v>
      </c>
    </row>
    <row r="30" spans="1:17" x14ac:dyDescent="0.3">
      <c r="A30" s="3" t="s">
        <v>149</v>
      </c>
      <c r="B30" s="4" t="s">
        <v>150</v>
      </c>
      <c r="C30" s="4" t="s">
        <v>134</v>
      </c>
      <c r="D30" s="3" t="s">
        <v>25</v>
      </c>
      <c r="E30" s="3" t="b">
        <v>1</v>
      </c>
      <c r="F30" s="3" t="b">
        <v>0</v>
      </c>
      <c r="G30" s="6">
        <v>100</v>
      </c>
      <c r="H30" s="6">
        <v>40.72</v>
      </c>
      <c r="I30" s="39">
        <f>'[1]V-10000009'!$J$1</f>
        <v>0</v>
      </c>
      <c r="J30" s="31">
        <v>0</v>
      </c>
      <c r="K30" s="27">
        <v>0</v>
      </c>
      <c r="L30" s="32">
        <v>0</v>
      </c>
      <c r="M30" s="31">
        <f>Clientes[[#This Row],[Saldo Credito]]+Clientes[[#This Row],[Saldo Consignacion]]+Clientes[[#This Row],[Prestamo $]]+(Clientes[[#This Row],[Prestamo R$]]/[2]Dashboard!$J$3)+(Clientes[[#This Row],[Prestamo Bs]]/[2]Dashboard!$K$3)</f>
        <v>40.72</v>
      </c>
      <c r="O30">
        <v>0</v>
      </c>
      <c r="P30">
        <v>0</v>
      </c>
      <c r="Q30">
        <v>0</v>
      </c>
    </row>
    <row r="31" spans="1:17" x14ac:dyDescent="0.3">
      <c r="A31" s="3" t="s">
        <v>236</v>
      </c>
      <c r="B31" s="4" t="s">
        <v>237</v>
      </c>
      <c r="C31" s="4" t="s">
        <v>238</v>
      </c>
      <c r="D31" s="3" t="s">
        <v>25</v>
      </c>
      <c r="E31" s="3" t="b">
        <v>1</v>
      </c>
      <c r="F31" s="3" t="b">
        <v>0</v>
      </c>
      <c r="G31" s="6">
        <v>100</v>
      </c>
      <c r="H31" s="6">
        <v>60.319999694824219</v>
      </c>
      <c r="I31" s="6">
        <f>'[1]V-10000034'!$J$1</f>
        <v>0</v>
      </c>
      <c r="J31" s="31">
        <v>0</v>
      </c>
      <c r="K31" s="27">
        <v>0</v>
      </c>
      <c r="L31" s="32">
        <v>0</v>
      </c>
      <c r="M31" s="31">
        <f>Clientes[[#This Row],[Saldo Credito]]+Clientes[[#This Row],[Saldo Consignacion]]+Clientes[[#This Row],[Prestamo $]]+(Clientes[[#This Row],[Prestamo R$]]/[2]Dashboard!$J$3)+(Clientes[[#This Row],[Prestamo Bs]]/[2]Dashboard!$K$3)</f>
        <v>60.319999694824219</v>
      </c>
      <c r="O31">
        <v>0</v>
      </c>
      <c r="P31">
        <v>0</v>
      </c>
      <c r="Q31">
        <v>0</v>
      </c>
    </row>
    <row r="32" spans="1:17" x14ac:dyDescent="0.3">
      <c r="A32" s="3" t="s">
        <v>141</v>
      </c>
      <c r="B32" s="4" t="s">
        <v>142</v>
      </c>
      <c r="C32" s="4" t="s">
        <v>134</v>
      </c>
      <c r="D32" s="3" t="s">
        <v>25</v>
      </c>
      <c r="E32" s="3" t="b">
        <v>1</v>
      </c>
      <c r="F32" s="3" t="b">
        <v>0</v>
      </c>
      <c r="G32" s="6">
        <v>250</v>
      </c>
      <c r="H32" s="6">
        <v>0</v>
      </c>
      <c r="I32" s="39">
        <f>'[1]V-10000005'!$J$1</f>
        <v>0</v>
      </c>
      <c r="J32" s="31">
        <v>0</v>
      </c>
      <c r="K32" s="27">
        <v>0</v>
      </c>
      <c r="L32" s="32">
        <v>0</v>
      </c>
      <c r="M32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32">
        <v>13</v>
      </c>
      <c r="P32">
        <v>0</v>
      </c>
      <c r="Q32">
        <v>0</v>
      </c>
    </row>
    <row r="33" spans="1:17" x14ac:dyDescent="0.3">
      <c r="A33" s="3" t="s">
        <v>185</v>
      </c>
      <c r="B33" s="4" t="s">
        <v>186</v>
      </c>
      <c r="C33" s="4" t="s">
        <v>134</v>
      </c>
      <c r="D33" s="3" t="s">
        <v>25</v>
      </c>
      <c r="E33" s="3" t="b">
        <v>0</v>
      </c>
      <c r="F33" s="3" t="b">
        <v>0</v>
      </c>
      <c r="G33" s="6">
        <v>0</v>
      </c>
      <c r="H33" s="6">
        <v>0</v>
      </c>
      <c r="I33" s="39">
        <f>'[1]V-10000024'!$J$1</f>
        <v>0</v>
      </c>
      <c r="J33" s="31">
        <v>0</v>
      </c>
      <c r="K33" s="27">
        <v>0</v>
      </c>
      <c r="L33" s="32">
        <v>0</v>
      </c>
      <c r="M33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33">
        <v>40.72</v>
      </c>
      <c r="P33">
        <v>0</v>
      </c>
      <c r="Q33">
        <v>0</v>
      </c>
    </row>
    <row r="34" spans="1:17" x14ac:dyDescent="0.3">
      <c r="A34" s="3" t="s">
        <v>161</v>
      </c>
      <c r="B34" s="4" t="s">
        <v>162</v>
      </c>
      <c r="C34" s="4" t="s">
        <v>134</v>
      </c>
      <c r="D34" s="3" t="s">
        <v>25</v>
      </c>
      <c r="E34" s="3" t="b">
        <v>0</v>
      </c>
      <c r="F34" s="3" t="b">
        <v>1</v>
      </c>
      <c r="G34" s="6">
        <v>0</v>
      </c>
      <c r="H34" s="6">
        <v>0</v>
      </c>
      <c r="I34" s="39">
        <f>'[1]V-10000012'!$J$1</f>
        <v>0.70333333333333325</v>
      </c>
      <c r="J34" s="31">
        <v>0</v>
      </c>
      <c r="K34" s="27">
        <v>0</v>
      </c>
      <c r="L34" s="32">
        <v>0</v>
      </c>
      <c r="M34" s="31">
        <f>Clientes[[#This Row],[Saldo Credito]]+Clientes[[#This Row],[Saldo Consignacion]]+Clientes[[#This Row],[Prestamo $]]+(Clientes[[#This Row],[Prestamo R$]]/[2]Dashboard!$J$3)+(Clientes[[#This Row],[Prestamo Bs]]/[2]Dashboard!$K$3)</f>
        <v>0.70333333333333325</v>
      </c>
      <c r="O34">
        <v>0</v>
      </c>
      <c r="P34">
        <v>0</v>
      </c>
      <c r="Q34">
        <v>0</v>
      </c>
    </row>
    <row r="35" spans="1:17" x14ac:dyDescent="0.3">
      <c r="A35" s="3" t="s">
        <v>135</v>
      </c>
      <c r="B35" s="4" t="s">
        <v>136</v>
      </c>
      <c r="C35" s="4" t="s">
        <v>134</v>
      </c>
      <c r="D35" s="3" t="s">
        <v>25</v>
      </c>
      <c r="E35" s="3" t="b">
        <v>1</v>
      </c>
      <c r="F35" s="3" t="b">
        <v>0</v>
      </c>
      <c r="G35" s="6">
        <v>520</v>
      </c>
      <c r="H35" s="6">
        <v>62.5</v>
      </c>
      <c r="I35" s="39">
        <f>'[1]V-10000002'!$J$1</f>
        <v>0</v>
      </c>
      <c r="J35" s="31">
        <v>0</v>
      </c>
      <c r="K35" s="27">
        <v>0</v>
      </c>
      <c r="L35" s="32">
        <v>0</v>
      </c>
      <c r="M35" s="31">
        <f>Clientes[[#This Row],[Saldo Credito]]+Clientes[[#This Row],[Saldo Consignacion]]+Clientes[[#This Row],[Prestamo $]]+(Clientes[[#This Row],[Prestamo R$]]/[2]Dashboard!$J$3)+(Clientes[[#This Row],[Prestamo Bs]]/[2]Dashboard!$K$3)</f>
        <v>62.5</v>
      </c>
      <c r="O35">
        <v>0</v>
      </c>
      <c r="P35">
        <v>0</v>
      </c>
      <c r="Q35">
        <v>0</v>
      </c>
    </row>
    <row r="36" spans="1:17" x14ac:dyDescent="0.3">
      <c r="A36" s="3" t="s">
        <v>187</v>
      </c>
      <c r="B36" s="4" t="s">
        <v>188</v>
      </c>
      <c r="C36" s="4" t="s">
        <v>134</v>
      </c>
      <c r="D36" s="3" t="s">
        <v>25</v>
      </c>
      <c r="E36" s="3" t="b">
        <v>0</v>
      </c>
      <c r="F36" s="3" t="b">
        <v>0</v>
      </c>
      <c r="G36" s="6">
        <v>0</v>
      </c>
      <c r="H36" s="6">
        <v>0</v>
      </c>
      <c r="I36" s="39">
        <f>'[1]V-10000025'!$J$1</f>
        <v>0</v>
      </c>
      <c r="J36" s="31">
        <v>0</v>
      </c>
      <c r="K36" s="27">
        <v>0</v>
      </c>
      <c r="L36" s="32">
        <v>0</v>
      </c>
      <c r="M36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36">
        <v>0</v>
      </c>
      <c r="P36">
        <v>0</v>
      </c>
      <c r="Q36">
        <v>0</v>
      </c>
    </row>
    <row r="37" spans="1:17" x14ac:dyDescent="0.3">
      <c r="A37" s="3" t="s">
        <v>169</v>
      </c>
      <c r="B37" s="4" t="s">
        <v>170</v>
      </c>
      <c r="C37" s="4" t="s">
        <v>134</v>
      </c>
      <c r="D37" s="3" t="s">
        <v>25</v>
      </c>
      <c r="E37" s="3" t="b">
        <v>0</v>
      </c>
      <c r="F37" s="3" t="b">
        <v>0</v>
      </c>
      <c r="G37" s="6">
        <v>0</v>
      </c>
      <c r="H37" s="6">
        <v>0</v>
      </c>
      <c r="I37" s="39">
        <f>'[1]V-10000016'!$J$1</f>
        <v>0</v>
      </c>
      <c r="J37" s="31">
        <v>0</v>
      </c>
      <c r="K37" s="27">
        <v>0</v>
      </c>
      <c r="L37" s="32">
        <v>0</v>
      </c>
      <c r="M37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37">
        <v>0</v>
      </c>
      <c r="P37">
        <v>0</v>
      </c>
      <c r="Q37">
        <v>0</v>
      </c>
    </row>
    <row r="38" spans="1:17" x14ac:dyDescent="0.3">
      <c r="A38" s="3" t="s">
        <v>177</v>
      </c>
      <c r="B38" s="4" t="s">
        <v>178</v>
      </c>
      <c r="C38" s="4" t="s">
        <v>134</v>
      </c>
      <c r="D38" s="3" t="s">
        <v>25</v>
      </c>
      <c r="E38" s="3" t="b">
        <v>0</v>
      </c>
      <c r="F38" s="3" t="b">
        <v>0</v>
      </c>
      <c r="G38" s="6">
        <v>0</v>
      </c>
      <c r="H38" s="6">
        <v>0</v>
      </c>
      <c r="I38" s="39">
        <f>'[1]V-10000020'!$J$1</f>
        <v>0</v>
      </c>
      <c r="J38" s="31">
        <v>0</v>
      </c>
      <c r="K38" s="27">
        <v>0</v>
      </c>
      <c r="L38" s="32">
        <v>0</v>
      </c>
      <c r="M38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38">
        <v>0</v>
      </c>
      <c r="P38">
        <v>0</v>
      </c>
      <c r="Q38">
        <v>0</v>
      </c>
    </row>
    <row r="39" spans="1:17" x14ac:dyDescent="0.3">
      <c r="A39" s="3" t="s">
        <v>28</v>
      </c>
      <c r="B39" s="4" t="s">
        <v>154</v>
      </c>
      <c r="C39" s="4" t="s">
        <v>134</v>
      </c>
      <c r="D39" s="3" t="s">
        <v>155</v>
      </c>
      <c r="E39" s="3" t="b">
        <v>1</v>
      </c>
      <c r="F39" s="3" t="b">
        <v>1</v>
      </c>
      <c r="G39" s="6">
        <v>100</v>
      </c>
      <c r="H39" s="6">
        <v>91.52999967575073</v>
      </c>
      <c r="I39" s="39">
        <f>'[1]V-25017131'!$J$1</f>
        <v>0</v>
      </c>
      <c r="J39" s="31">
        <v>0</v>
      </c>
      <c r="K39" s="27">
        <v>0</v>
      </c>
      <c r="L39" s="32">
        <v>0</v>
      </c>
      <c r="M39" s="31">
        <f>Clientes[[#This Row],[Saldo Credito]]+Clientes[[#This Row],[Saldo Consignacion]]+Clientes[[#This Row],[Prestamo $]]+(Clientes[[#This Row],[Prestamo R$]]/[2]Dashboard!$J$3)+(Clientes[[#This Row],[Prestamo Bs]]/[2]Dashboard!$K$3)</f>
        <v>91.52999967575073</v>
      </c>
      <c r="O39">
        <v>0</v>
      </c>
      <c r="P39">
        <v>0</v>
      </c>
      <c r="Q39">
        <v>0</v>
      </c>
    </row>
    <row r="40" spans="1:17" x14ac:dyDescent="0.3">
      <c r="A40" s="3" t="s">
        <v>214</v>
      </c>
      <c r="B40" s="4" t="s">
        <v>215</v>
      </c>
      <c r="C40" s="4" t="s">
        <v>134</v>
      </c>
      <c r="D40" s="3" t="s">
        <v>25</v>
      </c>
      <c r="E40" s="3" t="b">
        <v>0</v>
      </c>
      <c r="F40" s="3" t="b">
        <v>0</v>
      </c>
      <c r="G40" s="6">
        <v>0</v>
      </c>
      <c r="H40" s="6">
        <v>0</v>
      </c>
      <c r="I40" s="39">
        <f>'[1]V-10000031'!$J$1</f>
        <v>0</v>
      </c>
      <c r="J40" s="31">
        <v>0</v>
      </c>
      <c r="K40" s="27">
        <v>0</v>
      </c>
      <c r="L40" s="32">
        <v>0</v>
      </c>
      <c r="M40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40">
        <v>0</v>
      </c>
      <c r="P40">
        <v>0</v>
      </c>
      <c r="Q40">
        <v>0</v>
      </c>
    </row>
    <row r="41" spans="1:17" x14ac:dyDescent="0.3">
      <c r="A41" s="3" t="s">
        <v>218</v>
      </c>
      <c r="B41" s="4" t="s">
        <v>219</v>
      </c>
      <c r="C41" s="4" t="s">
        <v>134</v>
      </c>
      <c r="D41" s="3" t="s">
        <v>220</v>
      </c>
      <c r="E41" s="3" t="b">
        <v>1</v>
      </c>
      <c r="F41" s="3" t="b">
        <v>0</v>
      </c>
      <c r="G41" s="6">
        <v>100</v>
      </c>
      <c r="H41" s="6">
        <v>0</v>
      </c>
      <c r="I41" s="39">
        <f>'[1]V-22818980'!$J$1</f>
        <v>0</v>
      </c>
      <c r="J41" s="31">
        <v>0</v>
      </c>
      <c r="K41" s="27">
        <v>0</v>
      </c>
      <c r="L41" s="32">
        <v>0</v>
      </c>
      <c r="M41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41">
        <v>59.69</v>
      </c>
      <c r="P41">
        <v>0</v>
      </c>
      <c r="Q41">
        <v>0</v>
      </c>
    </row>
    <row r="42" spans="1:17" x14ac:dyDescent="0.3">
      <c r="A42" s="3" t="s">
        <v>145</v>
      </c>
      <c r="B42" s="4" t="s">
        <v>146</v>
      </c>
      <c r="C42" s="4" t="s">
        <v>134</v>
      </c>
      <c r="D42" s="3" t="s">
        <v>25</v>
      </c>
      <c r="E42" s="3" t="b">
        <v>1</v>
      </c>
      <c r="F42" s="3" t="b">
        <v>0</v>
      </c>
      <c r="G42" s="6">
        <v>160</v>
      </c>
      <c r="H42" s="6">
        <v>0</v>
      </c>
      <c r="I42" s="39">
        <f>'[1]V-10000007'!$J$1</f>
        <v>0</v>
      </c>
      <c r="J42" s="31">
        <v>0</v>
      </c>
      <c r="K42" s="27">
        <v>0</v>
      </c>
      <c r="L42" s="32">
        <v>0</v>
      </c>
      <c r="M42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42">
        <v>0</v>
      </c>
      <c r="P42">
        <v>0</v>
      </c>
      <c r="Q42">
        <v>0</v>
      </c>
    </row>
    <row r="43" spans="1:17" x14ac:dyDescent="0.3">
      <c r="A43" s="3" t="s">
        <v>175</v>
      </c>
      <c r="B43" s="4" t="s">
        <v>176</v>
      </c>
      <c r="C43" s="4" t="s">
        <v>134</v>
      </c>
      <c r="D43" s="3" t="s">
        <v>25</v>
      </c>
      <c r="E43" s="3" t="b">
        <v>1</v>
      </c>
      <c r="F43" s="3" t="b">
        <v>0</v>
      </c>
      <c r="G43" s="6">
        <v>50</v>
      </c>
      <c r="H43" s="6">
        <v>0.72</v>
      </c>
      <c r="I43" s="39">
        <f>'[1]V-10000019'!$J$1</f>
        <v>0</v>
      </c>
      <c r="J43" s="31">
        <v>0</v>
      </c>
      <c r="K43" s="27">
        <v>0</v>
      </c>
      <c r="L43" s="32">
        <v>0</v>
      </c>
      <c r="M43" s="31">
        <f>Clientes[[#This Row],[Saldo Credito]]+Clientes[[#This Row],[Saldo Consignacion]]+Clientes[[#This Row],[Prestamo $]]+(Clientes[[#This Row],[Prestamo R$]]/[2]Dashboard!$J$3)+(Clientes[[#This Row],[Prestamo Bs]]/[2]Dashboard!$K$3)</f>
        <v>0.72</v>
      </c>
      <c r="O43">
        <v>0</v>
      </c>
      <c r="P43">
        <v>0</v>
      </c>
      <c r="Q43">
        <v>0</v>
      </c>
    </row>
    <row r="44" spans="1:17" x14ac:dyDescent="0.3">
      <c r="A44" s="3" t="s">
        <v>189</v>
      </c>
      <c r="B44" s="4" t="s">
        <v>190</v>
      </c>
      <c r="C44" s="4" t="s">
        <v>157</v>
      </c>
      <c r="D44" s="3" t="s">
        <v>25</v>
      </c>
      <c r="E44" s="3" t="b">
        <v>1</v>
      </c>
      <c r="F44" s="3" t="b">
        <v>0</v>
      </c>
      <c r="G44" s="6">
        <v>100</v>
      </c>
      <c r="H44" s="6">
        <v>0</v>
      </c>
      <c r="I44" s="39">
        <f>'[1]V-10000026'!$J$1</f>
        <v>0</v>
      </c>
      <c r="J44" s="31">
        <v>0</v>
      </c>
      <c r="K44" s="27">
        <v>0</v>
      </c>
      <c r="L44" s="32">
        <v>0</v>
      </c>
      <c r="M44" s="31">
        <f>Clientes[[#This Row],[Saldo Credito]]+Clientes[[#This Row],[Saldo Consignacion]]+Clientes[[#This Row],[Prestamo $]]+(Clientes[[#This Row],[Prestamo R$]]/[2]Dashboard!$J$3)+(Clientes[[#This Row],[Prestamo Bs]]/[2]Dashboard!$K$3)</f>
        <v>0</v>
      </c>
      <c r="O44">
        <v>0</v>
      </c>
      <c r="P44">
        <v>0</v>
      </c>
      <c r="Q44">
        <v>71</v>
      </c>
    </row>
  </sheetData>
  <phoneticPr fontId="1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H18"/>
  <sheetViews>
    <sheetView workbookViewId="0">
      <selection activeCell="I5" sqref="I5"/>
    </sheetView>
  </sheetViews>
  <sheetFormatPr defaultColWidth="11.44140625" defaultRowHeight="15.6" x14ac:dyDescent="0.3"/>
  <cols>
    <col min="1" max="1" width="20.6640625" style="7" bestFit="1" customWidth="1"/>
    <col min="2" max="2" width="22.109375" style="7" bestFit="1" customWidth="1"/>
    <col min="3" max="3" width="15.88671875" style="7" customWidth="1"/>
    <col min="4" max="8" width="11.44140625" style="7"/>
    <col min="9" max="9" width="13.33203125" style="7" bestFit="1" customWidth="1"/>
    <col min="10" max="16384" width="11.44140625" style="7"/>
  </cols>
  <sheetData>
    <row r="1" spans="1:8" x14ac:dyDescent="0.3">
      <c r="A1" s="19" t="s">
        <v>37</v>
      </c>
      <c r="B1" s="20" t="s">
        <v>83</v>
      </c>
      <c r="C1" s="9" t="s">
        <v>36</v>
      </c>
      <c r="D1" s="9" t="s">
        <v>35</v>
      </c>
      <c r="F1" s="51" t="s">
        <v>254</v>
      </c>
      <c r="G1" s="51"/>
      <c r="H1" s="51"/>
    </row>
    <row r="2" spans="1:8" x14ac:dyDescent="0.3">
      <c r="A2" s="22" t="s">
        <v>74</v>
      </c>
      <c r="B2" s="21" t="s">
        <v>85</v>
      </c>
      <c r="C2" s="8" t="s">
        <v>34</v>
      </c>
      <c r="D2" s="30" t="s">
        <v>257</v>
      </c>
      <c r="F2" s="45" t="s">
        <v>78</v>
      </c>
      <c r="G2" s="50">
        <v>43913</v>
      </c>
      <c r="H2" s="45" t="s">
        <v>160</v>
      </c>
    </row>
    <row r="3" spans="1:8" x14ac:dyDescent="0.3">
      <c r="A3" s="22" t="s">
        <v>79</v>
      </c>
      <c r="B3" s="21" t="s">
        <v>86</v>
      </c>
      <c r="C3" s="8" t="s">
        <v>34</v>
      </c>
      <c r="D3" s="30" t="s">
        <v>256</v>
      </c>
      <c r="F3" s="10"/>
    </row>
    <row r="4" spans="1:8" x14ac:dyDescent="0.3">
      <c r="A4" s="22" t="s">
        <v>75</v>
      </c>
      <c r="B4" s="21" t="s">
        <v>84</v>
      </c>
      <c r="C4" s="8" t="s">
        <v>34</v>
      </c>
      <c r="D4" s="46" t="s">
        <v>259</v>
      </c>
      <c r="F4" s="10"/>
      <c r="G4" s="10"/>
    </row>
    <row r="5" spans="1:8" x14ac:dyDescent="0.3">
      <c r="A5" s="22" t="s">
        <v>71</v>
      </c>
      <c r="B5" s="21" t="s">
        <v>89</v>
      </c>
      <c r="C5" s="8" t="s">
        <v>34</v>
      </c>
      <c r="D5" s="30" t="s">
        <v>34</v>
      </c>
      <c r="F5" s="10"/>
      <c r="G5" s="10"/>
    </row>
    <row r="6" spans="1:8" x14ac:dyDescent="0.3">
      <c r="A6" s="22" t="s">
        <v>80</v>
      </c>
      <c r="B6" s="21" t="s">
        <v>88</v>
      </c>
      <c r="C6" s="8" t="s">
        <v>34</v>
      </c>
      <c r="D6" s="30" t="s">
        <v>34</v>
      </c>
      <c r="F6" s="16"/>
      <c r="G6" s="16"/>
    </row>
    <row r="7" spans="1:8" x14ac:dyDescent="0.3">
      <c r="A7" s="23" t="s">
        <v>72</v>
      </c>
      <c r="B7" s="21" t="s">
        <v>87</v>
      </c>
      <c r="C7" s="8" t="s">
        <v>34</v>
      </c>
      <c r="D7" s="30" t="s">
        <v>221</v>
      </c>
      <c r="F7" s="16"/>
      <c r="G7" s="16"/>
    </row>
    <row r="8" spans="1:8" x14ac:dyDescent="0.3">
      <c r="A8" s="22" t="s">
        <v>76</v>
      </c>
      <c r="B8" s="21" t="s">
        <v>90</v>
      </c>
      <c r="C8" s="8" t="s">
        <v>34</v>
      </c>
      <c r="D8" s="46" t="s">
        <v>252</v>
      </c>
      <c r="F8" s="16"/>
      <c r="G8" s="16"/>
    </row>
    <row r="9" spans="1:8" x14ac:dyDescent="0.3">
      <c r="A9" s="22" t="s">
        <v>78</v>
      </c>
      <c r="B9" s="21" t="s">
        <v>91</v>
      </c>
      <c r="C9" s="8" t="s">
        <v>34</v>
      </c>
      <c r="D9" s="30" t="s">
        <v>260</v>
      </c>
    </row>
    <row r="10" spans="1:8" x14ac:dyDescent="0.3">
      <c r="A10" s="22" t="s">
        <v>70</v>
      </c>
      <c r="B10" s="21" t="s">
        <v>92</v>
      </c>
      <c r="C10" s="8" t="s">
        <v>34</v>
      </c>
      <c r="D10" s="30" t="s">
        <v>221</v>
      </c>
    </row>
    <row r="11" spans="1:8" x14ac:dyDescent="0.3">
      <c r="A11" s="22" t="s">
        <v>73</v>
      </c>
      <c r="B11" s="21" t="s">
        <v>93</v>
      </c>
      <c r="C11" s="8" t="s">
        <v>34</v>
      </c>
      <c r="D11" s="30" t="s">
        <v>221</v>
      </c>
    </row>
    <row r="12" spans="1:8" x14ac:dyDescent="0.3">
      <c r="A12" s="23" t="s">
        <v>69</v>
      </c>
      <c r="B12" s="21" t="s">
        <v>94</v>
      </c>
      <c r="C12" s="8" t="s">
        <v>34</v>
      </c>
      <c r="D12" s="30" t="s">
        <v>255</v>
      </c>
    </row>
    <row r="13" spans="1:8" x14ac:dyDescent="0.3">
      <c r="A13" s="22" t="s">
        <v>68</v>
      </c>
      <c r="B13" s="21" t="s">
        <v>95</v>
      </c>
      <c r="C13" s="8" t="s">
        <v>34</v>
      </c>
      <c r="D13" s="46" t="s">
        <v>253</v>
      </c>
    </row>
    <row r="14" spans="1:8" x14ac:dyDescent="0.3">
      <c r="A14" s="22" t="s">
        <v>81</v>
      </c>
      <c r="B14" s="21" t="s">
        <v>96</v>
      </c>
      <c r="C14" s="8" t="s">
        <v>34</v>
      </c>
      <c r="D14" s="30" t="s">
        <v>258</v>
      </c>
    </row>
    <row r="15" spans="1:8" x14ac:dyDescent="0.3">
      <c r="A15" s="22" t="s">
        <v>82</v>
      </c>
      <c r="B15" s="21" t="s">
        <v>97</v>
      </c>
      <c r="C15" s="8" t="s">
        <v>34</v>
      </c>
      <c r="D15" s="30" t="s">
        <v>205</v>
      </c>
    </row>
    <row r="16" spans="1:8" x14ac:dyDescent="0.3">
      <c r="A16" s="22" t="s">
        <v>77</v>
      </c>
      <c r="B16" s="21" t="s">
        <v>98</v>
      </c>
      <c r="C16" s="8" t="s">
        <v>34</v>
      </c>
      <c r="D16" s="46" t="s">
        <v>250</v>
      </c>
    </row>
    <row r="17" spans="1:6" x14ac:dyDescent="0.3">
      <c r="A17" s="24" t="s">
        <v>99</v>
      </c>
      <c r="B17" s="25" t="s">
        <v>100</v>
      </c>
      <c r="C17" s="8" t="s">
        <v>34</v>
      </c>
      <c r="D17" s="30" t="s">
        <v>251</v>
      </c>
    </row>
    <row r="18" spans="1:6" x14ac:dyDescent="0.3">
      <c r="F18" s="18"/>
    </row>
  </sheetData>
  <sortState xmlns:xlrd2="http://schemas.microsoft.com/office/spreadsheetml/2017/richdata2" ref="B2:B14">
    <sortCondition ref="B2"/>
  </sortState>
  <mergeCells count="1">
    <mergeCell ref="F1:H1"/>
  </mergeCells>
  <phoneticPr fontId="1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D0152-60C6-455B-A53C-67027976D956}">
  <sheetPr codeName="Hoja5"/>
  <dimension ref="A1:F11"/>
  <sheetViews>
    <sheetView workbookViewId="0">
      <selection activeCell="D5" sqref="D5"/>
    </sheetView>
  </sheetViews>
  <sheetFormatPr defaultColWidth="11.44140625" defaultRowHeight="15.6" x14ac:dyDescent="0.3"/>
  <cols>
    <col min="1" max="1" width="26.33203125" style="11" bestFit="1" customWidth="1"/>
    <col min="2" max="2" width="19.109375" style="11" customWidth="1"/>
    <col min="3" max="3" width="48.109375" style="11" customWidth="1"/>
    <col min="4" max="4" width="19.88671875" style="11" customWidth="1"/>
    <col min="5" max="5" width="11.44140625" style="11"/>
    <col min="6" max="6" width="8.44140625" style="11" bestFit="1" customWidth="1"/>
    <col min="7" max="16384" width="11.44140625" style="11"/>
  </cols>
  <sheetData>
    <row r="1" spans="1:6" x14ac:dyDescent="0.3">
      <c r="A1" s="13" t="s">
        <v>59</v>
      </c>
      <c r="B1" s="13" t="s">
        <v>58</v>
      </c>
      <c r="C1" s="13" t="s">
        <v>17</v>
      </c>
      <c r="D1" s="13" t="s">
        <v>57</v>
      </c>
      <c r="F1" s="38" t="s">
        <v>196</v>
      </c>
    </row>
    <row r="2" spans="1:6" x14ac:dyDescent="0.3">
      <c r="A2" s="13" t="s">
        <v>33</v>
      </c>
      <c r="B2" s="13" t="s">
        <v>50</v>
      </c>
      <c r="C2" s="13" t="s">
        <v>49</v>
      </c>
      <c r="D2" s="15">
        <v>0</v>
      </c>
      <c r="F2" s="37">
        <v>0</v>
      </c>
    </row>
    <row r="3" spans="1:6" x14ac:dyDescent="0.3">
      <c r="A3" s="13" t="s">
        <v>60</v>
      </c>
      <c r="B3" s="13" t="s">
        <v>48</v>
      </c>
      <c r="C3" s="13" t="s">
        <v>47</v>
      </c>
      <c r="D3" s="15">
        <v>1988.0168662926553</v>
      </c>
      <c r="F3" s="37">
        <v>229.72</v>
      </c>
    </row>
    <row r="4" spans="1:6" x14ac:dyDescent="0.3">
      <c r="A4" s="13" t="s">
        <v>28</v>
      </c>
      <c r="B4" s="13" t="s">
        <v>46</v>
      </c>
      <c r="C4" s="13" t="s">
        <v>45</v>
      </c>
      <c r="D4" s="15">
        <v>315</v>
      </c>
      <c r="F4" s="37">
        <v>2820</v>
      </c>
    </row>
    <row r="5" spans="1:6" x14ac:dyDescent="0.3">
      <c r="A5" s="13" t="s">
        <v>33</v>
      </c>
      <c r="B5" s="13" t="s">
        <v>56</v>
      </c>
      <c r="C5" s="13" t="s">
        <v>55</v>
      </c>
      <c r="D5" s="26">
        <v>0</v>
      </c>
      <c r="F5" s="37">
        <v>0</v>
      </c>
    </row>
    <row r="6" spans="1:6" x14ac:dyDescent="0.3">
      <c r="A6" s="13" t="s">
        <v>60</v>
      </c>
      <c r="B6" s="13" t="s">
        <v>54</v>
      </c>
      <c r="C6" s="13" t="s">
        <v>53</v>
      </c>
      <c r="D6" s="26">
        <v>0</v>
      </c>
      <c r="F6" s="37">
        <v>0</v>
      </c>
    </row>
    <row r="7" spans="1:6" x14ac:dyDescent="0.3">
      <c r="A7" s="13" t="s">
        <v>28</v>
      </c>
      <c r="B7" s="13" t="s">
        <v>52</v>
      </c>
      <c r="C7" s="13" t="s">
        <v>51</v>
      </c>
      <c r="D7" s="26">
        <v>2402.0000762939453</v>
      </c>
      <c r="F7" s="37">
        <v>-102</v>
      </c>
    </row>
    <row r="8" spans="1:6" x14ac:dyDescent="0.3">
      <c r="A8" s="13" t="s">
        <v>33</v>
      </c>
      <c r="B8" s="13" t="s">
        <v>44</v>
      </c>
      <c r="C8" s="13" t="s">
        <v>43</v>
      </c>
      <c r="D8" s="14">
        <v>0</v>
      </c>
      <c r="F8" s="37">
        <v>0</v>
      </c>
    </row>
    <row r="9" spans="1:6" x14ac:dyDescent="0.3">
      <c r="A9" s="13" t="s">
        <v>60</v>
      </c>
      <c r="B9" s="13" t="s">
        <v>42</v>
      </c>
      <c r="C9" s="13" t="s">
        <v>41</v>
      </c>
      <c r="D9" s="14">
        <v>0</v>
      </c>
      <c r="F9" s="37">
        <v>0</v>
      </c>
    </row>
    <row r="10" spans="1:6" x14ac:dyDescent="0.3">
      <c r="A10" s="13" t="s">
        <v>28</v>
      </c>
      <c r="B10" s="13" t="s">
        <v>40</v>
      </c>
      <c r="C10" s="13" t="s">
        <v>39</v>
      </c>
      <c r="D10" s="14">
        <v>0</v>
      </c>
      <c r="F10" s="37">
        <v>0</v>
      </c>
    </row>
    <row r="11" spans="1:6" x14ac:dyDescent="0.3">
      <c r="A11" s="13"/>
      <c r="B11" s="13"/>
      <c r="C11" s="13"/>
      <c r="D11" s="1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Inicio</vt:lpstr>
      <vt:lpstr>Inventario</vt:lpstr>
      <vt:lpstr>Clientes</vt:lpstr>
      <vt:lpstr>Correlativos</vt:lpstr>
      <vt:lpstr>Cajas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Soneview</dc:creator>
  <cp:lastModifiedBy>Rodolfo Marsili</cp:lastModifiedBy>
  <dcterms:created xsi:type="dcterms:W3CDTF">2019-10-21T14:22:54Z</dcterms:created>
  <dcterms:modified xsi:type="dcterms:W3CDTF">2023-01-13T18:17:49Z</dcterms:modified>
</cp:coreProperties>
</file>