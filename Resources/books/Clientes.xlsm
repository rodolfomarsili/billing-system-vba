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si\Downloads\Gestion\Gestion_DEV\Resources\books\"/>
    </mc:Choice>
  </mc:AlternateContent>
  <xr:revisionPtr revIDLastSave="0" documentId="13_ncr:1_{6C6D2B23-751C-464F-BFC2-4382C4835B5C}" xr6:coauthVersionLast="47" xr6:coauthVersionMax="47" xr10:uidLastSave="{00000000-0000-0000-0000-000000000000}"/>
  <bookViews>
    <workbookView visibility="hidden" xWindow="-108" yWindow="-108" windowWidth="23256" windowHeight="12456" xr2:uid="{00000000-000D-0000-FFFF-FFFF00000000}"/>
  </bookViews>
  <sheets>
    <sheet name="Inicio" sheetId="1" r:id="rId1"/>
    <sheet name="V-10000038" sheetId="48" state="hidden" r:id="rId2"/>
    <sheet name="V-10000037" sheetId="47" state="hidden" r:id="rId3"/>
    <sheet name="J-100000001" sheetId="46" state="hidden" r:id="rId4"/>
    <sheet name="V-10000036" sheetId="45" state="hidden" r:id="rId5"/>
    <sheet name="V-10000035" sheetId="44" state="hidden" r:id="rId6"/>
    <sheet name="V-10000034" sheetId="43" state="hidden" r:id="rId7"/>
    <sheet name="V-10000033" sheetId="42" state="hidden" r:id="rId8"/>
    <sheet name="V-22818980" sheetId="41" state="hidden" r:id="rId9"/>
    <sheet name="V-10000032" sheetId="40" state="hidden" r:id="rId10"/>
    <sheet name="V-10000031" sheetId="39" state="hidden" r:id="rId11"/>
    <sheet name="V-10000030" sheetId="38" state="hidden" r:id="rId12"/>
    <sheet name="V-10000029" sheetId="37" state="hidden" r:id="rId13"/>
    <sheet name="V-10000025" sheetId="33" state="hidden" r:id="rId14"/>
    <sheet name="V-10000024" sheetId="32" state="hidden" r:id="rId15"/>
    <sheet name="V-10000023" sheetId="31" state="hidden" r:id="rId16"/>
    <sheet name="V-10000022" sheetId="30" state="hidden" r:id="rId17"/>
    <sheet name="V-10000021" sheetId="29" state="hidden" r:id="rId18"/>
    <sheet name="V-10000020" sheetId="28" state="hidden" r:id="rId19"/>
    <sheet name="V-10000019" sheetId="27" state="hidden" r:id="rId20"/>
    <sheet name="V-10000018" sheetId="26" state="hidden" r:id="rId21"/>
    <sheet name="V-10000017" sheetId="25" state="hidden" r:id="rId22"/>
    <sheet name="V-10000016" sheetId="24" state="hidden" r:id="rId23"/>
    <sheet name="V-10000015" sheetId="23" state="hidden" r:id="rId24"/>
    <sheet name="V-10000014" sheetId="22" state="hidden" r:id="rId25"/>
    <sheet name="V-10000013" sheetId="21" state="hidden" r:id="rId26"/>
    <sheet name="V-10000012" sheetId="20" state="hidden" r:id="rId27"/>
    <sheet name="V-10000011" sheetId="19" state="hidden" r:id="rId28"/>
    <sheet name="V-10553146" sheetId="18" state="hidden" r:id="rId29"/>
    <sheet name="V-25017131" sheetId="17" state="hidden" r:id="rId30"/>
    <sheet name="V-10000010" sheetId="16" state="hidden" r:id="rId31"/>
    <sheet name="V-10000009" sheetId="15" state="hidden" r:id="rId32"/>
    <sheet name="V-10000008" sheetId="14" state="hidden" r:id="rId33"/>
    <sheet name="V-10000007" sheetId="13" state="hidden" r:id="rId34"/>
    <sheet name="V-10000006" sheetId="12" state="hidden" r:id="rId35"/>
    <sheet name="V-10000005" sheetId="11" state="hidden" r:id="rId36"/>
    <sheet name="V-10000004" sheetId="10" state="hidden" r:id="rId37"/>
    <sheet name="V-10000003" sheetId="9" state="hidden" r:id="rId38"/>
    <sheet name="V-10000002" sheetId="8" state="hidden" r:id="rId39"/>
    <sheet name="V-10000001" sheetId="7" state="hidden" r:id="rId40"/>
    <sheet name="Base" sheetId="6" state="hidden" r:id="rId41"/>
    <sheet name="V-10000028" sheetId="36" state="hidden" r:id="rId42"/>
    <sheet name="V-10000027" sheetId="35" state="hidden" r:id="rId43"/>
    <sheet name="V-10000026" sheetId="34" state="hidden" r:id="rId44"/>
  </sheets>
  <definedNames>
    <definedName name="_xlcn.WorksheetConnection_Clientes.xlsmInventario1" hidden="1">Inventario[]</definedName>
    <definedName name="_xlcn.WorksheetConnection_Clientes.xlsmInventario121" hidden="1">Inventario12[]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ario" name="Inventario" connection="WorksheetConnection_Clientes.xlsm!Inventario"/>
          <x15:modelTable id="Inventario12" name="Inventario12" connection="WorksheetConnection_Clientes.xlsm!Inventario12"/>
        </x15:modelTables>
        <x15:modelRelationships>
          <x15:modelRelationship fromTable="Inventario12" fromColumn="Producto" toTable="Inventario" toColumn="Product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0" i="48" l="1"/>
  <c r="G40" i="48" s="1"/>
  <c r="F39" i="48"/>
  <c r="G39" i="48" s="1"/>
  <c r="F38" i="48"/>
  <c r="G38" i="48" s="1"/>
  <c r="F37" i="48"/>
  <c r="G37" i="48" s="1"/>
  <c r="F36" i="48"/>
  <c r="G36" i="48" s="1"/>
  <c r="F35" i="48"/>
  <c r="G35" i="48" s="1"/>
  <c r="F34" i="48"/>
  <c r="G34" i="48" s="1"/>
  <c r="F33" i="48"/>
  <c r="G33" i="48" s="1"/>
  <c r="F32" i="48"/>
  <c r="G32" i="48" s="1"/>
  <c r="F31" i="48"/>
  <c r="G31" i="48" s="1"/>
  <c r="F30" i="48"/>
  <c r="G30" i="48" s="1"/>
  <c r="F29" i="48"/>
  <c r="G29" i="48" s="1"/>
  <c r="F28" i="48"/>
  <c r="G28" i="48" s="1"/>
  <c r="F27" i="48"/>
  <c r="G27" i="48" s="1"/>
  <c r="F26" i="48"/>
  <c r="G26" i="48" s="1"/>
  <c r="F25" i="48"/>
  <c r="G25" i="48" s="1"/>
  <c r="F24" i="48"/>
  <c r="G24" i="48" s="1"/>
  <c r="F23" i="48"/>
  <c r="G23" i="48" s="1"/>
  <c r="F22" i="48"/>
  <c r="G22" i="48" s="1"/>
  <c r="F21" i="48"/>
  <c r="G21" i="48" s="1"/>
  <c r="F20" i="48"/>
  <c r="G20" i="48" s="1"/>
  <c r="F19" i="48"/>
  <c r="G19" i="48" s="1"/>
  <c r="F18" i="48"/>
  <c r="G18" i="48" s="1"/>
  <c r="F17" i="48"/>
  <c r="G17" i="48" s="1"/>
  <c r="F16" i="48"/>
  <c r="G16" i="48" s="1"/>
  <c r="F15" i="48"/>
  <c r="G15" i="48" s="1"/>
  <c r="F14" i="48"/>
  <c r="G14" i="48" s="1"/>
  <c r="F13" i="48"/>
  <c r="G13" i="48" s="1"/>
  <c r="F12" i="48"/>
  <c r="G12" i="48" s="1"/>
  <c r="F11" i="48"/>
  <c r="G11" i="48" s="1"/>
  <c r="F10" i="48"/>
  <c r="G10" i="48" s="1"/>
  <c r="F9" i="48"/>
  <c r="G9" i="48" s="1"/>
  <c r="F8" i="48"/>
  <c r="G8" i="48" s="1"/>
  <c r="F7" i="48"/>
  <c r="G7" i="48" s="1"/>
  <c r="F6" i="48"/>
  <c r="G6" i="48" s="1"/>
  <c r="F5" i="48"/>
  <c r="G5" i="48" s="1"/>
  <c r="F4" i="48"/>
  <c r="G4" i="48" s="1"/>
  <c r="F3" i="48"/>
  <c r="G3" i="48" s="1"/>
  <c r="F2" i="48"/>
  <c r="G2" i="48" s="1"/>
  <c r="J1" i="48" l="1"/>
  <c r="F40" i="47"/>
  <c r="G40" i="47" s="1"/>
  <c r="F39" i="47"/>
  <c r="G39" i="47" s="1"/>
  <c r="F38" i="47"/>
  <c r="G38" i="47" s="1"/>
  <c r="F37" i="47"/>
  <c r="G37" i="47" s="1"/>
  <c r="F36" i="47"/>
  <c r="G36" i="47" s="1"/>
  <c r="F35" i="47"/>
  <c r="G35" i="47" s="1"/>
  <c r="F34" i="47"/>
  <c r="G34" i="47" s="1"/>
  <c r="F33" i="47"/>
  <c r="G33" i="47" s="1"/>
  <c r="F32" i="47"/>
  <c r="G32" i="47" s="1"/>
  <c r="F31" i="47"/>
  <c r="G31" i="47" s="1"/>
  <c r="F30" i="47"/>
  <c r="G30" i="47" s="1"/>
  <c r="F29" i="47"/>
  <c r="G29" i="47" s="1"/>
  <c r="F28" i="47"/>
  <c r="G28" i="47" s="1"/>
  <c r="F27" i="47"/>
  <c r="G27" i="47" s="1"/>
  <c r="F26" i="47"/>
  <c r="G26" i="47" s="1"/>
  <c r="F25" i="47"/>
  <c r="G25" i="47" s="1"/>
  <c r="F24" i="47"/>
  <c r="G24" i="47" s="1"/>
  <c r="F23" i="47"/>
  <c r="G23" i="47" s="1"/>
  <c r="F22" i="47"/>
  <c r="G22" i="47" s="1"/>
  <c r="F21" i="47"/>
  <c r="G21" i="47" s="1"/>
  <c r="F20" i="47"/>
  <c r="G20" i="47" s="1"/>
  <c r="F19" i="47"/>
  <c r="G19" i="47" s="1"/>
  <c r="G18" i="47"/>
  <c r="F18" i="47"/>
  <c r="F17" i="47"/>
  <c r="G17" i="47" s="1"/>
  <c r="F16" i="47"/>
  <c r="G16" i="47" s="1"/>
  <c r="F15" i="47"/>
  <c r="G15" i="47" s="1"/>
  <c r="F14" i="47"/>
  <c r="G14" i="47" s="1"/>
  <c r="F13" i="47"/>
  <c r="G13" i="47" s="1"/>
  <c r="F12" i="47"/>
  <c r="G12" i="47" s="1"/>
  <c r="F11" i="47"/>
  <c r="G11" i="47" s="1"/>
  <c r="F10" i="47"/>
  <c r="G10" i="47" s="1"/>
  <c r="F9" i="47"/>
  <c r="G9" i="47" s="1"/>
  <c r="F8" i="47"/>
  <c r="G8" i="47" s="1"/>
  <c r="F7" i="47"/>
  <c r="G7" i="47" s="1"/>
  <c r="F6" i="47"/>
  <c r="G6" i="47" s="1"/>
  <c r="F5" i="47"/>
  <c r="G5" i="47" s="1"/>
  <c r="F4" i="47"/>
  <c r="G4" i="47" s="1"/>
  <c r="F3" i="47"/>
  <c r="G3" i="47" s="1"/>
  <c r="F2" i="47"/>
  <c r="G2" i="47" s="1"/>
  <c r="F40" i="46"/>
  <c r="G40" i="46" s="1"/>
  <c r="F39" i="46"/>
  <c r="G39" i="46" s="1"/>
  <c r="F38" i="46"/>
  <c r="G38" i="46" s="1"/>
  <c r="F37" i="46"/>
  <c r="G37" i="46" s="1"/>
  <c r="F36" i="46"/>
  <c r="G36" i="46" s="1"/>
  <c r="F35" i="46"/>
  <c r="G35" i="46" s="1"/>
  <c r="F34" i="46"/>
  <c r="G34" i="46" s="1"/>
  <c r="F33" i="46"/>
  <c r="G33" i="46" s="1"/>
  <c r="F32" i="46"/>
  <c r="G32" i="46" s="1"/>
  <c r="F31" i="46"/>
  <c r="G31" i="46" s="1"/>
  <c r="F30" i="46"/>
  <c r="G30" i="46" s="1"/>
  <c r="F29" i="46"/>
  <c r="G29" i="46" s="1"/>
  <c r="G28" i="46"/>
  <c r="F28" i="46"/>
  <c r="F27" i="46"/>
  <c r="G27" i="46" s="1"/>
  <c r="F26" i="46"/>
  <c r="G26" i="46" s="1"/>
  <c r="F25" i="46"/>
  <c r="G25" i="46" s="1"/>
  <c r="F24" i="46"/>
  <c r="G24" i="46" s="1"/>
  <c r="F23" i="46"/>
  <c r="G23" i="46" s="1"/>
  <c r="F22" i="46"/>
  <c r="G22" i="46" s="1"/>
  <c r="F21" i="46"/>
  <c r="G21" i="46" s="1"/>
  <c r="F20" i="46"/>
  <c r="G20" i="46" s="1"/>
  <c r="F19" i="46"/>
  <c r="G19" i="46" s="1"/>
  <c r="F18" i="46"/>
  <c r="G18" i="46" s="1"/>
  <c r="F17" i="46"/>
  <c r="G17" i="46" s="1"/>
  <c r="F16" i="46"/>
  <c r="G16" i="46" s="1"/>
  <c r="F15" i="46"/>
  <c r="G15" i="46" s="1"/>
  <c r="F14" i="46"/>
  <c r="G14" i="46" s="1"/>
  <c r="F13" i="46"/>
  <c r="G13" i="46" s="1"/>
  <c r="F12" i="46"/>
  <c r="G12" i="46" s="1"/>
  <c r="F11" i="46"/>
  <c r="G11" i="46" s="1"/>
  <c r="F10" i="46"/>
  <c r="G10" i="46" s="1"/>
  <c r="F9" i="46"/>
  <c r="G9" i="46" s="1"/>
  <c r="F8" i="46"/>
  <c r="G8" i="46" s="1"/>
  <c r="F7" i="46"/>
  <c r="G7" i="46" s="1"/>
  <c r="F6" i="46"/>
  <c r="G6" i="46" s="1"/>
  <c r="F5" i="46"/>
  <c r="G5" i="46" s="1"/>
  <c r="F4" i="46"/>
  <c r="G4" i="46" s="1"/>
  <c r="F3" i="46"/>
  <c r="G3" i="46" s="1"/>
  <c r="F2" i="46"/>
  <c r="G2" i="46" s="1"/>
  <c r="J1" i="47" l="1"/>
  <c r="J1" i="46"/>
  <c r="F39" i="45" l="1"/>
  <c r="G39" i="45" s="1"/>
  <c r="F37" i="45"/>
  <c r="G37" i="45" s="1"/>
  <c r="F36" i="45"/>
  <c r="G36" i="45" s="1"/>
  <c r="F35" i="45"/>
  <c r="G35" i="45" s="1"/>
  <c r="F34" i="45"/>
  <c r="G34" i="45" s="1"/>
  <c r="F33" i="45"/>
  <c r="G33" i="45" s="1"/>
  <c r="F32" i="45"/>
  <c r="G32" i="45" s="1"/>
  <c r="F30" i="45"/>
  <c r="G30" i="45" s="1"/>
  <c r="F28" i="45"/>
  <c r="G28" i="45" s="1"/>
  <c r="F27" i="45"/>
  <c r="G27" i="45" s="1"/>
  <c r="F26" i="45"/>
  <c r="G26" i="45" s="1"/>
  <c r="F25" i="45"/>
  <c r="G25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5" i="45"/>
  <c r="G15" i="45" s="1"/>
  <c r="F14" i="45"/>
  <c r="G14" i="45" s="1"/>
  <c r="F11" i="45"/>
  <c r="G11" i="45" s="1"/>
  <c r="F10" i="45"/>
  <c r="G10" i="45" s="1"/>
  <c r="F8" i="45"/>
  <c r="G8" i="45" s="1"/>
  <c r="F7" i="45"/>
  <c r="G7" i="45" s="1"/>
  <c r="F6" i="45"/>
  <c r="G6" i="45" s="1"/>
  <c r="F5" i="45"/>
  <c r="G5" i="45" s="1"/>
  <c r="F4" i="45"/>
  <c r="G4" i="45" s="1"/>
  <c r="F2" i="45"/>
  <c r="G2" i="45" s="1"/>
  <c r="F24" i="45"/>
  <c r="G24" i="45" s="1"/>
  <c r="F3" i="45"/>
  <c r="G3" i="45" s="1"/>
  <c r="F9" i="45"/>
  <c r="G9" i="45" s="1"/>
  <c r="F31" i="45"/>
  <c r="G31" i="45" s="1"/>
  <c r="F13" i="45"/>
  <c r="G13" i="45" s="1"/>
  <c r="F29" i="45"/>
  <c r="G29" i="45" s="1"/>
  <c r="F17" i="45"/>
  <c r="G17" i="45" s="1"/>
  <c r="F16" i="45"/>
  <c r="G16" i="45" s="1"/>
  <c r="F12" i="45"/>
  <c r="G12" i="45" s="1"/>
  <c r="F38" i="45"/>
  <c r="G38" i="45" s="1"/>
  <c r="F40" i="45"/>
  <c r="G40" i="45" s="1"/>
  <c r="F39" i="44"/>
  <c r="G39" i="44" s="1"/>
  <c r="F37" i="44"/>
  <c r="G37" i="44" s="1"/>
  <c r="F36" i="44"/>
  <c r="G36" i="44" s="1"/>
  <c r="F35" i="44"/>
  <c r="G35" i="44" s="1"/>
  <c r="F34" i="44"/>
  <c r="G34" i="44" s="1"/>
  <c r="F33" i="44"/>
  <c r="G33" i="44" s="1"/>
  <c r="F32" i="44"/>
  <c r="G32" i="44" s="1"/>
  <c r="F30" i="44"/>
  <c r="G30" i="44" s="1"/>
  <c r="F28" i="44"/>
  <c r="G28" i="44" s="1"/>
  <c r="F27" i="44"/>
  <c r="G27" i="44" s="1"/>
  <c r="F26" i="44"/>
  <c r="G26" i="44" s="1"/>
  <c r="F25" i="44"/>
  <c r="G25" i="44" s="1"/>
  <c r="F23" i="44"/>
  <c r="G23" i="44" s="1"/>
  <c r="F22" i="44"/>
  <c r="G22" i="44" s="1"/>
  <c r="F21" i="44"/>
  <c r="G21" i="44" s="1"/>
  <c r="F20" i="44"/>
  <c r="G20" i="44" s="1"/>
  <c r="F19" i="44"/>
  <c r="G19" i="44" s="1"/>
  <c r="F18" i="44"/>
  <c r="G18" i="44" s="1"/>
  <c r="F15" i="44"/>
  <c r="G15" i="44" s="1"/>
  <c r="F14" i="44"/>
  <c r="G14" i="44" s="1"/>
  <c r="F11" i="44"/>
  <c r="G11" i="44" s="1"/>
  <c r="F10" i="44"/>
  <c r="G10" i="44" s="1"/>
  <c r="F8" i="44"/>
  <c r="G8" i="44" s="1"/>
  <c r="F7" i="44"/>
  <c r="G7" i="44" s="1"/>
  <c r="F6" i="44"/>
  <c r="G6" i="44" s="1"/>
  <c r="F5" i="44"/>
  <c r="G5" i="44" s="1"/>
  <c r="F4" i="44"/>
  <c r="G4" i="44" s="1"/>
  <c r="F2" i="44"/>
  <c r="G2" i="44" s="1"/>
  <c r="F24" i="44"/>
  <c r="G24" i="44" s="1"/>
  <c r="F3" i="44"/>
  <c r="G3" i="44" s="1"/>
  <c r="F9" i="44"/>
  <c r="G9" i="44" s="1"/>
  <c r="F31" i="44"/>
  <c r="G31" i="44" s="1"/>
  <c r="F13" i="44"/>
  <c r="G13" i="44" s="1"/>
  <c r="F29" i="44"/>
  <c r="G29" i="44" s="1"/>
  <c r="F17" i="44"/>
  <c r="G17" i="44" s="1"/>
  <c r="F16" i="44"/>
  <c r="G16" i="44" s="1"/>
  <c r="F12" i="44"/>
  <c r="G12" i="44" s="1"/>
  <c r="F38" i="44"/>
  <c r="G38" i="44" s="1"/>
  <c r="F40" i="44"/>
  <c r="G40" i="44" s="1"/>
  <c r="J1" i="45" l="1"/>
  <c r="J1" i="44"/>
  <c r="F39" i="43" l="1"/>
  <c r="G39" i="43" s="1"/>
  <c r="F37" i="43"/>
  <c r="G37" i="43" s="1"/>
  <c r="F36" i="43"/>
  <c r="G36" i="43" s="1"/>
  <c r="F35" i="43"/>
  <c r="G35" i="43" s="1"/>
  <c r="F34" i="43"/>
  <c r="G34" i="43" s="1"/>
  <c r="F33" i="43"/>
  <c r="G33" i="43" s="1"/>
  <c r="F32" i="43"/>
  <c r="G32" i="43" s="1"/>
  <c r="F30" i="43"/>
  <c r="G30" i="43" s="1"/>
  <c r="F28" i="43"/>
  <c r="G28" i="43" s="1"/>
  <c r="F27" i="43"/>
  <c r="G27" i="43" s="1"/>
  <c r="F26" i="43"/>
  <c r="G26" i="43" s="1"/>
  <c r="F25" i="43"/>
  <c r="G25" i="43" s="1"/>
  <c r="F23" i="43"/>
  <c r="G23" i="43" s="1"/>
  <c r="F22" i="43"/>
  <c r="G22" i="43" s="1"/>
  <c r="F21" i="43"/>
  <c r="G21" i="43" s="1"/>
  <c r="F20" i="43"/>
  <c r="G20" i="43" s="1"/>
  <c r="F19" i="43"/>
  <c r="G19" i="43" s="1"/>
  <c r="F18" i="43"/>
  <c r="G18" i="43" s="1"/>
  <c r="F15" i="43"/>
  <c r="G15" i="43" s="1"/>
  <c r="F14" i="43"/>
  <c r="G14" i="43" s="1"/>
  <c r="F11" i="43"/>
  <c r="G11" i="43" s="1"/>
  <c r="F10" i="43"/>
  <c r="G10" i="43" s="1"/>
  <c r="F8" i="43"/>
  <c r="G8" i="43" s="1"/>
  <c r="F7" i="43"/>
  <c r="G7" i="43" s="1"/>
  <c r="F6" i="43"/>
  <c r="G6" i="43" s="1"/>
  <c r="F5" i="43"/>
  <c r="G5" i="43" s="1"/>
  <c r="F4" i="43"/>
  <c r="G4" i="43" s="1"/>
  <c r="F2" i="43"/>
  <c r="G2" i="43" s="1"/>
  <c r="F24" i="43"/>
  <c r="G24" i="43" s="1"/>
  <c r="F3" i="43"/>
  <c r="G3" i="43" s="1"/>
  <c r="F9" i="43"/>
  <c r="G9" i="43" s="1"/>
  <c r="F31" i="43"/>
  <c r="G31" i="43" s="1"/>
  <c r="F13" i="43"/>
  <c r="G13" i="43" s="1"/>
  <c r="F29" i="43"/>
  <c r="G29" i="43" s="1"/>
  <c r="F17" i="43"/>
  <c r="G17" i="43" s="1"/>
  <c r="F16" i="43"/>
  <c r="G16" i="43" s="1"/>
  <c r="F12" i="43"/>
  <c r="G12" i="43" s="1"/>
  <c r="F38" i="43"/>
  <c r="G38" i="43" s="1"/>
  <c r="F40" i="43"/>
  <c r="G40" i="43" s="1"/>
  <c r="F40" i="34"/>
  <c r="G40" i="34" s="1"/>
  <c r="F40" i="35"/>
  <c r="G40" i="35" s="1"/>
  <c r="F40" i="36"/>
  <c r="G40" i="36" s="1"/>
  <c r="F40" i="6"/>
  <c r="G40" i="6" s="1"/>
  <c r="F40" i="7"/>
  <c r="G40" i="7" s="1"/>
  <c r="F40" i="8"/>
  <c r="G40" i="8" s="1"/>
  <c r="F40" i="9"/>
  <c r="G40" i="9" s="1"/>
  <c r="F40" i="10"/>
  <c r="G40" i="10" s="1"/>
  <c r="F40" i="11"/>
  <c r="G40" i="11" s="1"/>
  <c r="F40" i="12"/>
  <c r="G40" i="12" s="1"/>
  <c r="F40" i="13"/>
  <c r="G40" i="13" s="1"/>
  <c r="F40" i="14"/>
  <c r="G40" i="14" s="1"/>
  <c r="F40" i="15"/>
  <c r="G40" i="15" s="1"/>
  <c r="F40" i="16"/>
  <c r="G40" i="16" s="1"/>
  <c r="F40" i="17"/>
  <c r="G40" i="17" s="1"/>
  <c r="F40" i="18"/>
  <c r="G40" i="18" s="1"/>
  <c r="F40" i="19"/>
  <c r="G40" i="19" s="1"/>
  <c r="F40" i="20"/>
  <c r="G40" i="20" s="1"/>
  <c r="F40" i="21"/>
  <c r="G40" i="21" s="1"/>
  <c r="F40" i="22"/>
  <c r="G40" i="22" s="1"/>
  <c r="F40" i="23"/>
  <c r="G40" i="23" s="1"/>
  <c r="F40" i="24"/>
  <c r="G40" i="24" s="1"/>
  <c r="F40" i="25"/>
  <c r="G40" i="25" s="1"/>
  <c r="F40" i="26"/>
  <c r="G40" i="26" s="1"/>
  <c r="F40" i="27"/>
  <c r="G40" i="27" s="1"/>
  <c r="F40" i="28"/>
  <c r="G40" i="28" s="1"/>
  <c r="F40" i="29"/>
  <c r="G40" i="29" s="1"/>
  <c r="F40" i="30"/>
  <c r="G40" i="30" s="1"/>
  <c r="F40" i="31"/>
  <c r="G40" i="31" s="1"/>
  <c r="F40" i="32"/>
  <c r="G40" i="32" s="1"/>
  <c r="F40" i="33"/>
  <c r="G40" i="33" s="1"/>
  <c r="F40" i="37"/>
  <c r="G40" i="37" s="1"/>
  <c r="F40" i="38"/>
  <c r="G40" i="38" s="1"/>
  <c r="F40" i="39"/>
  <c r="G40" i="39" s="1"/>
  <c r="F40" i="40"/>
  <c r="G40" i="40" s="1"/>
  <c r="F40" i="41"/>
  <c r="G40" i="41" s="1"/>
  <c r="F40" i="42"/>
  <c r="G40" i="42" s="1"/>
  <c r="F38" i="34"/>
  <c r="G38" i="34" s="1"/>
  <c r="F38" i="35"/>
  <c r="G38" i="35" s="1"/>
  <c r="F38" i="36"/>
  <c r="G38" i="36" s="1"/>
  <c r="F38" i="6"/>
  <c r="G38" i="6" s="1"/>
  <c r="F38" i="7"/>
  <c r="G38" i="7" s="1"/>
  <c r="F38" i="8"/>
  <c r="G38" i="8"/>
  <c r="F38" i="9"/>
  <c r="G38" i="9" s="1"/>
  <c r="F38" i="10"/>
  <c r="G38" i="10" s="1"/>
  <c r="F38" i="11"/>
  <c r="G38" i="11" s="1"/>
  <c r="F38" i="12"/>
  <c r="G38" i="12" s="1"/>
  <c r="F38" i="13"/>
  <c r="G38" i="13" s="1"/>
  <c r="F38" i="14"/>
  <c r="G38" i="14" s="1"/>
  <c r="F38" i="15"/>
  <c r="G38" i="15" s="1"/>
  <c r="F38" i="16"/>
  <c r="G38" i="16" s="1"/>
  <c r="F38" i="17"/>
  <c r="G38" i="17" s="1"/>
  <c r="F38" i="18"/>
  <c r="G38" i="18" s="1"/>
  <c r="F38" i="19"/>
  <c r="G38" i="19" s="1"/>
  <c r="F38" i="20"/>
  <c r="G38" i="20" s="1"/>
  <c r="F38" i="21"/>
  <c r="G38" i="21" s="1"/>
  <c r="F38" i="22"/>
  <c r="G38" i="22" s="1"/>
  <c r="F38" i="23"/>
  <c r="G38" i="23" s="1"/>
  <c r="F38" i="24"/>
  <c r="G38" i="24" s="1"/>
  <c r="F38" i="25"/>
  <c r="G38" i="25" s="1"/>
  <c r="F38" i="26"/>
  <c r="G38" i="26" s="1"/>
  <c r="F38" i="27"/>
  <c r="G38" i="27" s="1"/>
  <c r="F38" i="28"/>
  <c r="G38" i="28" s="1"/>
  <c r="F38" i="29"/>
  <c r="G38" i="29" s="1"/>
  <c r="F38" i="30"/>
  <c r="G38" i="30" s="1"/>
  <c r="F38" i="31"/>
  <c r="G38" i="31" s="1"/>
  <c r="F38" i="32"/>
  <c r="G38" i="32" s="1"/>
  <c r="F38" i="33"/>
  <c r="G38" i="33" s="1"/>
  <c r="F38" i="37"/>
  <c r="G38" i="37" s="1"/>
  <c r="F38" i="38"/>
  <c r="G38" i="38" s="1"/>
  <c r="F38" i="39"/>
  <c r="G38" i="39" s="1"/>
  <c r="F38" i="40"/>
  <c r="G38" i="40" s="1"/>
  <c r="F38" i="41"/>
  <c r="G38" i="41" s="1"/>
  <c r="F38" i="42"/>
  <c r="G38" i="42" s="1"/>
  <c r="F12" i="34"/>
  <c r="G12" i="34" s="1"/>
  <c r="F12" i="35"/>
  <c r="G12" i="35" s="1"/>
  <c r="F12" i="36"/>
  <c r="G12" i="36" s="1"/>
  <c r="F12" i="6"/>
  <c r="G12" i="6" s="1"/>
  <c r="F12" i="7"/>
  <c r="G12" i="7" s="1"/>
  <c r="F12" i="8"/>
  <c r="G12" i="8" s="1"/>
  <c r="F12" i="9"/>
  <c r="G12" i="9" s="1"/>
  <c r="F12" i="10"/>
  <c r="G12" i="10" s="1"/>
  <c r="F12" i="11"/>
  <c r="G12" i="11" s="1"/>
  <c r="F12" i="12"/>
  <c r="G12" i="12" s="1"/>
  <c r="F12" i="13"/>
  <c r="G12" i="13" s="1"/>
  <c r="F12" i="14"/>
  <c r="G12" i="14" s="1"/>
  <c r="F12" i="15"/>
  <c r="G12" i="15" s="1"/>
  <c r="F12" i="16"/>
  <c r="G12" i="16" s="1"/>
  <c r="F12" i="17"/>
  <c r="G12" i="17" s="1"/>
  <c r="F12" i="18"/>
  <c r="G12" i="18" s="1"/>
  <c r="F12" i="19"/>
  <c r="G12" i="19" s="1"/>
  <c r="F12" i="20"/>
  <c r="G12" i="20" s="1"/>
  <c r="F12" i="21"/>
  <c r="G12" i="21" s="1"/>
  <c r="F12" i="22"/>
  <c r="G12" i="22" s="1"/>
  <c r="F12" i="23"/>
  <c r="G12" i="23" s="1"/>
  <c r="F12" i="24"/>
  <c r="G12" i="24" s="1"/>
  <c r="F12" i="25"/>
  <c r="G12" i="25" s="1"/>
  <c r="F12" i="26"/>
  <c r="G12" i="26" s="1"/>
  <c r="F12" i="27"/>
  <c r="G12" i="27" s="1"/>
  <c r="F12" i="28"/>
  <c r="G12" i="28" s="1"/>
  <c r="F12" i="29"/>
  <c r="G12" i="29" s="1"/>
  <c r="F12" i="30"/>
  <c r="G12" i="30" s="1"/>
  <c r="F12" i="31"/>
  <c r="G12" i="31" s="1"/>
  <c r="F12" i="32"/>
  <c r="G12" i="32" s="1"/>
  <c r="F12" i="33"/>
  <c r="G12" i="33" s="1"/>
  <c r="F12" i="37"/>
  <c r="G12" i="37" s="1"/>
  <c r="F12" i="38"/>
  <c r="G12" i="38" s="1"/>
  <c r="F12" i="39"/>
  <c r="G12" i="39" s="1"/>
  <c r="F12" i="40"/>
  <c r="G12" i="40" s="1"/>
  <c r="F12" i="41"/>
  <c r="G12" i="41" s="1"/>
  <c r="F12" i="42"/>
  <c r="G12" i="42" s="1"/>
  <c r="F16" i="34"/>
  <c r="G16" i="34" s="1"/>
  <c r="F16" i="35"/>
  <c r="G16" i="35" s="1"/>
  <c r="F16" i="36"/>
  <c r="G16" i="36" s="1"/>
  <c r="F16" i="6"/>
  <c r="G16" i="6" s="1"/>
  <c r="F16" i="7"/>
  <c r="G16" i="7" s="1"/>
  <c r="F16" i="8"/>
  <c r="G16" i="8" s="1"/>
  <c r="F16" i="9"/>
  <c r="G16" i="9" s="1"/>
  <c r="F16" i="10"/>
  <c r="G16" i="10" s="1"/>
  <c r="F16" i="11"/>
  <c r="G16" i="11" s="1"/>
  <c r="F16" i="12"/>
  <c r="G16" i="12" s="1"/>
  <c r="F16" i="13"/>
  <c r="G16" i="13" s="1"/>
  <c r="F16" i="14"/>
  <c r="G16" i="14" s="1"/>
  <c r="F16" i="15"/>
  <c r="G16" i="15" s="1"/>
  <c r="F16" i="16"/>
  <c r="G16" i="16" s="1"/>
  <c r="F16" i="17"/>
  <c r="G16" i="17" s="1"/>
  <c r="F16" i="18"/>
  <c r="G16" i="18" s="1"/>
  <c r="F16" i="19"/>
  <c r="G16" i="19" s="1"/>
  <c r="F16" i="20"/>
  <c r="G16" i="20" s="1"/>
  <c r="F16" i="21"/>
  <c r="G16" i="21" s="1"/>
  <c r="F16" i="22"/>
  <c r="G16" i="22" s="1"/>
  <c r="F16" i="23"/>
  <c r="G16" i="23" s="1"/>
  <c r="F16" i="24"/>
  <c r="G16" i="24" s="1"/>
  <c r="F16" i="25"/>
  <c r="G16" i="25" s="1"/>
  <c r="F16" i="26"/>
  <c r="G16" i="26" s="1"/>
  <c r="F16" i="27"/>
  <c r="G16" i="27" s="1"/>
  <c r="F16" i="28"/>
  <c r="G16" i="28" s="1"/>
  <c r="F16" i="29"/>
  <c r="G16" i="29" s="1"/>
  <c r="F16" i="30"/>
  <c r="G16" i="30" s="1"/>
  <c r="F16" i="31"/>
  <c r="G16" i="31" s="1"/>
  <c r="F16" i="32"/>
  <c r="G16" i="32" s="1"/>
  <c r="F16" i="33"/>
  <c r="G16" i="33" s="1"/>
  <c r="F16" i="37"/>
  <c r="G16" i="37" s="1"/>
  <c r="F16" i="38"/>
  <c r="G16" i="38" s="1"/>
  <c r="F16" i="39"/>
  <c r="G16" i="39" s="1"/>
  <c r="F16" i="40"/>
  <c r="G16" i="40" s="1"/>
  <c r="F16" i="41"/>
  <c r="G16" i="41" s="1"/>
  <c r="F16" i="42"/>
  <c r="G16" i="42" s="1"/>
  <c r="F17" i="34"/>
  <c r="G17" i="34" s="1"/>
  <c r="F17" i="35"/>
  <c r="G17" i="35" s="1"/>
  <c r="F17" i="36"/>
  <c r="G17" i="36" s="1"/>
  <c r="F17" i="6"/>
  <c r="G17" i="6" s="1"/>
  <c r="F17" i="7"/>
  <c r="G17" i="7" s="1"/>
  <c r="F17" i="8"/>
  <c r="G17" i="8" s="1"/>
  <c r="F17" i="9"/>
  <c r="G17" i="9" s="1"/>
  <c r="F17" i="10"/>
  <c r="G17" i="10" s="1"/>
  <c r="F17" i="11"/>
  <c r="G17" i="11" s="1"/>
  <c r="F17" i="12"/>
  <c r="G17" i="12" s="1"/>
  <c r="F17" i="13"/>
  <c r="G17" i="13" s="1"/>
  <c r="F17" i="14"/>
  <c r="G17" i="14" s="1"/>
  <c r="F17" i="15"/>
  <c r="G17" i="15" s="1"/>
  <c r="F17" i="16"/>
  <c r="G17" i="16" s="1"/>
  <c r="F17" i="17"/>
  <c r="G17" i="17" s="1"/>
  <c r="F17" i="18"/>
  <c r="G17" i="18" s="1"/>
  <c r="F17" i="19"/>
  <c r="G17" i="19" s="1"/>
  <c r="F17" i="20"/>
  <c r="G17" i="20" s="1"/>
  <c r="F17" i="21"/>
  <c r="G17" i="21" s="1"/>
  <c r="F17" i="22"/>
  <c r="G17" i="22" s="1"/>
  <c r="F17" i="23"/>
  <c r="G17" i="23" s="1"/>
  <c r="F17" i="24"/>
  <c r="G17" i="24" s="1"/>
  <c r="F17" i="25"/>
  <c r="G17" i="25" s="1"/>
  <c r="F17" i="26"/>
  <c r="G17" i="26" s="1"/>
  <c r="F17" i="27"/>
  <c r="G17" i="27" s="1"/>
  <c r="F17" i="28"/>
  <c r="G17" i="28" s="1"/>
  <c r="F17" i="29"/>
  <c r="G17" i="29" s="1"/>
  <c r="F17" i="30"/>
  <c r="G17" i="30" s="1"/>
  <c r="F17" i="31"/>
  <c r="G17" i="31" s="1"/>
  <c r="F17" i="32"/>
  <c r="G17" i="32" s="1"/>
  <c r="F17" i="33"/>
  <c r="G17" i="33" s="1"/>
  <c r="F17" i="37"/>
  <c r="G17" i="37" s="1"/>
  <c r="F17" i="38"/>
  <c r="G17" i="38" s="1"/>
  <c r="F17" i="39"/>
  <c r="G17" i="39" s="1"/>
  <c r="F17" i="40"/>
  <c r="G17" i="40" s="1"/>
  <c r="F17" i="41"/>
  <c r="G17" i="41" s="1"/>
  <c r="F17" i="42"/>
  <c r="G17" i="42" s="1"/>
  <c r="F29" i="34"/>
  <c r="G29" i="34" s="1"/>
  <c r="F29" i="35"/>
  <c r="G29" i="35" s="1"/>
  <c r="F29" i="36"/>
  <c r="G29" i="36" s="1"/>
  <c r="F29" i="6"/>
  <c r="G29" i="6" s="1"/>
  <c r="F29" i="7"/>
  <c r="G29" i="7" s="1"/>
  <c r="F29" i="8"/>
  <c r="G29" i="8" s="1"/>
  <c r="F29" i="9"/>
  <c r="G29" i="9" s="1"/>
  <c r="F29" i="10"/>
  <c r="G29" i="10" s="1"/>
  <c r="F29" i="11"/>
  <c r="G29" i="11" s="1"/>
  <c r="F29" i="12"/>
  <c r="G29" i="12" s="1"/>
  <c r="F29" i="13"/>
  <c r="G29" i="13" s="1"/>
  <c r="F29" i="14"/>
  <c r="G29" i="14" s="1"/>
  <c r="F29" i="15"/>
  <c r="G29" i="15" s="1"/>
  <c r="F29" i="16"/>
  <c r="G29" i="16" s="1"/>
  <c r="F29" i="17"/>
  <c r="G29" i="17" s="1"/>
  <c r="F29" i="18"/>
  <c r="G29" i="18" s="1"/>
  <c r="F29" i="19"/>
  <c r="G29" i="19" s="1"/>
  <c r="F29" i="20"/>
  <c r="G29" i="20" s="1"/>
  <c r="F29" i="21"/>
  <c r="G29" i="21" s="1"/>
  <c r="F29" i="22"/>
  <c r="G29" i="22" s="1"/>
  <c r="F29" i="23"/>
  <c r="G29" i="23" s="1"/>
  <c r="F29" i="24"/>
  <c r="G29" i="24" s="1"/>
  <c r="F29" i="25"/>
  <c r="G29" i="25" s="1"/>
  <c r="F29" i="26"/>
  <c r="G29" i="26" s="1"/>
  <c r="F29" i="27"/>
  <c r="G29" i="27" s="1"/>
  <c r="F29" i="28"/>
  <c r="G29" i="28" s="1"/>
  <c r="F29" i="29"/>
  <c r="G29" i="29" s="1"/>
  <c r="F29" i="30"/>
  <c r="G29" i="30" s="1"/>
  <c r="F29" i="31"/>
  <c r="G29" i="31" s="1"/>
  <c r="F29" i="32"/>
  <c r="G29" i="32" s="1"/>
  <c r="F29" i="33"/>
  <c r="G29" i="33" s="1"/>
  <c r="F29" i="37"/>
  <c r="G29" i="37" s="1"/>
  <c r="F29" i="38"/>
  <c r="G29" i="38" s="1"/>
  <c r="F29" i="39"/>
  <c r="G29" i="39" s="1"/>
  <c r="F29" i="40"/>
  <c r="G29" i="40" s="1"/>
  <c r="F29" i="41"/>
  <c r="G29" i="41" s="1"/>
  <c r="F29" i="42"/>
  <c r="G29" i="42" s="1"/>
  <c r="F13" i="34"/>
  <c r="G13" i="34" s="1"/>
  <c r="F13" i="35"/>
  <c r="G13" i="35" s="1"/>
  <c r="F13" i="36"/>
  <c r="G13" i="36" s="1"/>
  <c r="F13" i="6"/>
  <c r="G13" i="6" s="1"/>
  <c r="F13" i="7"/>
  <c r="G13" i="7" s="1"/>
  <c r="F13" i="8"/>
  <c r="G13" i="8" s="1"/>
  <c r="F13" i="9"/>
  <c r="G13" i="9" s="1"/>
  <c r="F13" i="10"/>
  <c r="G13" i="10" s="1"/>
  <c r="F13" i="11"/>
  <c r="G13" i="11" s="1"/>
  <c r="F13" i="12"/>
  <c r="G13" i="12" s="1"/>
  <c r="F13" i="13"/>
  <c r="G13" i="13" s="1"/>
  <c r="F13" i="14"/>
  <c r="G13" i="14" s="1"/>
  <c r="F13" i="15"/>
  <c r="G13" i="15" s="1"/>
  <c r="F13" i="16"/>
  <c r="G13" i="16" s="1"/>
  <c r="F13" i="17"/>
  <c r="G13" i="17" s="1"/>
  <c r="F13" i="18"/>
  <c r="G13" i="18" s="1"/>
  <c r="F13" i="19"/>
  <c r="G13" i="19" s="1"/>
  <c r="F13" i="20"/>
  <c r="G13" i="20" s="1"/>
  <c r="F13" i="21"/>
  <c r="G13" i="21" s="1"/>
  <c r="F13" i="22"/>
  <c r="G13" i="22" s="1"/>
  <c r="F13" i="23"/>
  <c r="G13" i="23" s="1"/>
  <c r="F13" i="24"/>
  <c r="G13" i="24" s="1"/>
  <c r="F13" i="25"/>
  <c r="G13" i="25" s="1"/>
  <c r="F13" i="26"/>
  <c r="G13" i="26" s="1"/>
  <c r="F13" i="27"/>
  <c r="G13" i="27" s="1"/>
  <c r="F13" i="28"/>
  <c r="G13" i="28" s="1"/>
  <c r="F13" i="29"/>
  <c r="G13" i="29" s="1"/>
  <c r="F13" i="30"/>
  <c r="G13" i="30" s="1"/>
  <c r="F13" i="31"/>
  <c r="G13" i="31" s="1"/>
  <c r="F13" i="32"/>
  <c r="G13" i="32" s="1"/>
  <c r="F13" i="33"/>
  <c r="G13" i="33" s="1"/>
  <c r="F13" i="37"/>
  <c r="G13" i="37" s="1"/>
  <c r="F13" i="38"/>
  <c r="G13" i="38" s="1"/>
  <c r="F13" i="39"/>
  <c r="G13" i="39" s="1"/>
  <c r="F13" i="40"/>
  <c r="G13" i="40" s="1"/>
  <c r="F13" i="41"/>
  <c r="G13" i="41" s="1"/>
  <c r="F13" i="42"/>
  <c r="G13" i="42" s="1"/>
  <c r="F39" i="42"/>
  <c r="G39" i="42" s="1"/>
  <c r="F37" i="42"/>
  <c r="G37" i="42" s="1"/>
  <c r="F36" i="42"/>
  <c r="G36" i="42" s="1"/>
  <c r="F35" i="42"/>
  <c r="G35" i="42" s="1"/>
  <c r="F34" i="42"/>
  <c r="G34" i="42" s="1"/>
  <c r="F33" i="42"/>
  <c r="G33" i="42" s="1"/>
  <c r="F32" i="42"/>
  <c r="G32" i="42" s="1"/>
  <c r="F30" i="42"/>
  <c r="G30" i="42" s="1"/>
  <c r="F28" i="42"/>
  <c r="G28" i="42" s="1"/>
  <c r="F27" i="42"/>
  <c r="G27" i="42" s="1"/>
  <c r="F26" i="42"/>
  <c r="G26" i="42" s="1"/>
  <c r="F25" i="42"/>
  <c r="G25" i="42" s="1"/>
  <c r="F23" i="42"/>
  <c r="G23" i="42" s="1"/>
  <c r="F22" i="42"/>
  <c r="G22" i="42" s="1"/>
  <c r="F21" i="42"/>
  <c r="G21" i="42" s="1"/>
  <c r="F20" i="42"/>
  <c r="G20" i="42" s="1"/>
  <c r="F19" i="42"/>
  <c r="G19" i="42" s="1"/>
  <c r="F18" i="42"/>
  <c r="G18" i="42" s="1"/>
  <c r="F15" i="42"/>
  <c r="G15" i="42" s="1"/>
  <c r="F14" i="42"/>
  <c r="G14" i="42" s="1"/>
  <c r="F11" i="42"/>
  <c r="G11" i="42" s="1"/>
  <c r="F10" i="42"/>
  <c r="G10" i="42" s="1"/>
  <c r="F8" i="42"/>
  <c r="G8" i="42" s="1"/>
  <c r="F7" i="42"/>
  <c r="G7" i="42" s="1"/>
  <c r="F6" i="42"/>
  <c r="G6" i="42" s="1"/>
  <c r="F5" i="42"/>
  <c r="G5" i="42" s="1"/>
  <c r="F4" i="42"/>
  <c r="G4" i="42" s="1"/>
  <c r="F2" i="42"/>
  <c r="G2" i="42" s="1"/>
  <c r="F24" i="42"/>
  <c r="G24" i="42" s="1"/>
  <c r="F3" i="42"/>
  <c r="G3" i="42" s="1"/>
  <c r="F9" i="42"/>
  <c r="G9" i="42" s="1"/>
  <c r="F31" i="42"/>
  <c r="G31" i="42" s="1"/>
  <c r="J1" i="43" l="1"/>
  <c r="J1" i="42"/>
  <c r="F39" i="41" l="1"/>
  <c r="G39" i="41" s="1"/>
  <c r="F37" i="41"/>
  <c r="G37" i="41" s="1"/>
  <c r="F36" i="41"/>
  <c r="G36" i="41" s="1"/>
  <c r="F35" i="41"/>
  <c r="G35" i="41" s="1"/>
  <c r="F34" i="41"/>
  <c r="G34" i="41" s="1"/>
  <c r="F33" i="41"/>
  <c r="G33" i="41" s="1"/>
  <c r="F32" i="41"/>
  <c r="G32" i="41" s="1"/>
  <c r="F30" i="41"/>
  <c r="G30" i="41" s="1"/>
  <c r="F28" i="41"/>
  <c r="G28" i="41" s="1"/>
  <c r="F27" i="41"/>
  <c r="G27" i="41" s="1"/>
  <c r="F26" i="41"/>
  <c r="G26" i="41" s="1"/>
  <c r="F25" i="41"/>
  <c r="G25" i="41" s="1"/>
  <c r="F23" i="41"/>
  <c r="G23" i="41" s="1"/>
  <c r="F22" i="41"/>
  <c r="G22" i="41" s="1"/>
  <c r="F21" i="41"/>
  <c r="G21" i="41" s="1"/>
  <c r="F20" i="41"/>
  <c r="G20" i="41" s="1"/>
  <c r="F19" i="41"/>
  <c r="G19" i="41" s="1"/>
  <c r="F18" i="41"/>
  <c r="G18" i="41" s="1"/>
  <c r="F15" i="41"/>
  <c r="G15" i="41" s="1"/>
  <c r="F14" i="41"/>
  <c r="G14" i="41" s="1"/>
  <c r="F11" i="41"/>
  <c r="G11" i="41" s="1"/>
  <c r="F10" i="41"/>
  <c r="G10" i="41" s="1"/>
  <c r="F8" i="41"/>
  <c r="G8" i="41" s="1"/>
  <c r="F7" i="41"/>
  <c r="G7" i="41" s="1"/>
  <c r="F6" i="41"/>
  <c r="G6" i="41" s="1"/>
  <c r="F5" i="41"/>
  <c r="G5" i="41" s="1"/>
  <c r="F4" i="41"/>
  <c r="G4" i="41" s="1"/>
  <c r="F2" i="41"/>
  <c r="G2" i="41" s="1"/>
  <c r="F24" i="41"/>
  <c r="G24" i="41" s="1"/>
  <c r="F3" i="41"/>
  <c r="G3" i="41" s="1"/>
  <c r="F9" i="41"/>
  <c r="G9" i="41" s="1"/>
  <c r="F31" i="41"/>
  <c r="G31" i="41" s="1"/>
  <c r="J1" i="41" l="1"/>
  <c r="F39" i="40" l="1"/>
  <c r="G39" i="40" s="1"/>
  <c r="F37" i="40"/>
  <c r="G37" i="40" s="1"/>
  <c r="F36" i="40"/>
  <c r="G36" i="40" s="1"/>
  <c r="F35" i="40"/>
  <c r="G35" i="40" s="1"/>
  <c r="F34" i="40"/>
  <c r="G34" i="40" s="1"/>
  <c r="F33" i="40"/>
  <c r="G33" i="40" s="1"/>
  <c r="F32" i="40"/>
  <c r="G32" i="40" s="1"/>
  <c r="F30" i="40"/>
  <c r="G30" i="40" s="1"/>
  <c r="F28" i="40"/>
  <c r="G28" i="40" s="1"/>
  <c r="F27" i="40"/>
  <c r="G27" i="40" s="1"/>
  <c r="F26" i="40"/>
  <c r="G26" i="40" s="1"/>
  <c r="F25" i="40"/>
  <c r="G25" i="40" s="1"/>
  <c r="F23" i="40"/>
  <c r="G23" i="40" s="1"/>
  <c r="F22" i="40"/>
  <c r="G22" i="40" s="1"/>
  <c r="F21" i="40"/>
  <c r="G21" i="40" s="1"/>
  <c r="F20" i="40"/>
  <c r="G20" i="40" s="1"/>
  <c r="F19" i="40"/>
  <c r="G19" i="40" s="1"/>
  <c r="F18" i="40"/>
  <c r="G18" i="40" s="1"/>
  <c r="F15" i="40"/>
  <c r="G15" i="40" s="1"/>
  <c r="F14" i="40"/>
  <c r="G14" i="40" s="1"/>
  <c r="F11" i="40"/>
  <c r="G11" i="40" s="1"/>
  <c r="F10" i="40"/>
  <c r="G10" i="40" s="1"/>
  <c r="F8" i="40"/>
  <c r="G8" i="40" s="1"/>
  <c r="F7" i="40"/>
  <c r="G7" i="40" s="1"/>
  <c r="F6" i="40"/>
  <c r="G6" i="40" s="1"/>
  <c r="F5" i="40"/>
  <c r="G5" i="40" s="1"/>
  <c r="F4" i="40"/>
  <c r="G4" i="40" s="1"/>
  <c r="F2" i="40"/>
  <c r="G2" i="40" s="1"/>
  <c r="F24" i="40"/>
  <c r="G24" i="40" s="1"/>
  <c r="F3" i="40"/>
  <c r="G3" i="40" s="1"/>
  <c r="F9" i="40"/>
  <c r="G9" i="40" s="1"/>
  <c r="F31" i="40"/>
  <c r="G31" i="40" s="1"/>
  <c r="F39" i="39"/>
  <c r="G39" i="39" s="1"/>
  <c r="F37" i="39"/>
  <c r="G37" i="39" s="1"/>
  <c r="F36" i="39"/>
  <c r="G36" i="39" s="1"/>
  <c r="F35" i="39"/>
  <c r="G35" i="39" s="1"/>
  <c r="F34" i="39"/>
  <c r="G34" i="39" s="1"/>
  <c r="F33" i="39"/>
  <c r="G33" i="39" s="1"/>
  <c r="F32" i="39"/>
  <c r="G32" i="39" s="1"/>
  <c r="F30" i="39"/>
  <c r="G30" i="39" s="1"/>
  <c r="F28" i="39"/>
  <c r="G28" i="39" s="1"/>
  <c r="F27" i="39"/>
  <c r="G27" i="39" s="1"/>
  <c r="F26" i="39"/>
  <c r="G26" i="39" s="1"/>
  <c r="F25" i="39"/>
  <c r="G25" i="39" s="1"/>
  <c r="F23" i="39"/>
  <c r="G23" i="39" s="1"/>
  <c r="F22" i="39"/>
  <c r="G22" i="39" s="1"/>
  <c r="F21" i="39"/>
  <c r="G21" i="39" s="1"/>
  <c r="F20" i="39"/>
  <c r="G20" i="39" s="1"/>
  <c r="F19" i="39"/>
  <c r="G19" i="39" s="1"/>
  <c r="F18" i="39"/>
  <c r="G18" i="39" s="1"/>
  <c r="F15" i="39"/>
  <c r="G15" i="39" s="1"/>
  <c r="F14" i="39"/>
  <c r="G14" i="39" s="1"/>
  <c r="F11" i="39"/>
  <c r="G11" i="39" s="1"/>
  <c r="F10" i="39"/>
  <c r="G10" i="39" s="1"/>
  <c r="F8" i="39"/>
  <c r="G8" i="39" s="1"/>
  <c r="F7" i="39"/>
  <c r="G7" i="39" s="1"/>
  <c r="F6" i="39"/>
  <c r="G6" i="39" s="1"/>
  <c r="F5" i="39"/>
  <c r="G5" i="39" s="1"/>
  <c r="F4" i="39"/>
  <c r="G4" i="39" s="1"/>
  <c r="F2" i="39"/>
  <c r="G2" i="39" s="1"/>
  <c r="F24" i="39"/>
  <c r="G24" i="39" s="1"/>
  <c r="F3" i="39"/>
  <c r="G3" i="39" s="1"/>
  <c r="F9" i="39"/>
  <c r="G9" i="39" s="1"/>
  <c r="F31" i="39"/>
  <c r="G31" i="39" s="1"/>
  <c r="J1" i="39" l="1"/>
  <c r="J1" i="40"/>
  <c r="F39" i="38"/>
  <c r="G39" i="38" s="1"/>
  <c r="F37" i="38"/>
  <c r="G37" i="38" s="1"/>
  <c r="F36" i="38"/>
  <c r="G36" i="38" s="1"/>
  <c r="F35" i="38"/>
  <c r="G35" i="38" s="1"/>
  <c r="F34" i="38"/>
  <c r="G34" i="38" s="1"/>
  <c r="F33" i="38"/>
  <c r="G33" i="38" s="1"/>
  <c r="F32" i="38"/>
  <c r="G32" i="38" s="1"/>
  <c r="F30" i="38"/>
  <c r="G30" i="38" s="1"/>
  <c r="F28" i="38"/>
  <c r="G28" i="38" s="1"/>
  <c r="F27" i="38"/>
  <c r="G27" i="38" s="1"/>
  <c r="F26" i="38"/>
  <c r="G26" i="38" s="1"/>
  <c r="F25" i="38"/>
  <c r="G25" i="38" s="1"/>
  <c r="F23" i="38"/>
  <c r="G23" i="38" s="1"/>
  <c r="F22" i="38"/>
  <c r="G22" i="38" s="1"/>
  <c r="F21" i="38"/>
  <c r="G21" i="38" s="1"/>
  <c r="F20" i="38"/>
  <c r="G20" i="38" s="1"/>
  <c r="F19" i="38"/>
  <c r="G19" i="38" s="1"/>
  <c r="F18" i="38"/>
  <c r="G18" i="38" s="1"/>
  <c r="F15" i="38"/>
  <c r="G15" i="38" s="1"/>
  <c r="F14" i="38"/>
  <c r="G14" i="38" s="1"/>
  <c r="F11" i="38"/>
  <c r="G11" i="38" s="1"/>
  <c r="F10" i="38"/>
  <c r="G10" i="38" s="1"/>
  <c r="F8" i="38"/>
  <c r="G8" i="38" s="1"/>
  <c r="F7" i="38"/>
  <c r="G7" i="38" s="1"/>
  <c r="F6" i="38"/>
  <c r="G6" i="38" s="1"/>
  <c r="F5" i="38"/>
  <c r="G5" i="38" s="1"/>
  <c r="F4" i="38"/>
  <c r="G4" i="38" s="1"/>
  <c r="F2" i="38"/>
  <c r="G2" i="38" s="1"/>
  <c r="F24" i="38"/>
  <c r="G24" i="38" s="1"/>
  <c r="F3" i="38"/>
  <c r="G3" i="38" s="1"/>
  <c r="F9" i="38"/>
  <c r="G9" i="38" s="1"/>
  <c r="F31" i="38"/>
  <c r="G31" i="38" s="1"/>
  <c r="F39" i="37"/>
  <c r="G39" i="37" s="1"/>
  <c r="F37" i="37"/>
  <c r="G37" i="37" s="1"/>
  <c r="F36" i="37"/>
  <c r="G36" i="37" s="1"/>
  <c r="F35" i="37"/>
  <c r="G35" i="37" s="1"/>
  <c r="F34" i="37"/>
  <c r="G34" i="37" s="1"/>
  <c r="F33" i="37"/>
  <c r="G33" i="37" s="1"/>
  <c r="F32" i="37"/>
  <c r="G32" i="37" s="1"/>
  <c r="F30" i="37"/>
  <c r="G30" i="37" s="1"/>
  <c r="F28" i="37"/>
  <c r="G28" i="37" s="1"/>
  <c r="F27" i="37"/>
  <c r="G27" i="37" s="1"/>
  <c r="F26" i="37"/>
  <c r="G26" i="37" s="1"/>
  <c r="F25" i="37"/>
  <c r="G25" i="37" s="1"/>
  <c r="F23" i="37"/>
  <c r="G23" i="37" s="1"/>
  <c r="F22" i="37"/>
  <c r="G22" i="37" s="1"/>
  <c r="F21" i="37"/>
  <c r="G21" i="37" s="1"/>
  <c r="F20" i="37"/>
  <c r="G20" i="37" s="1"/>
  <c r="F19" i="37"/>
  <c r="G19" i="37" s="1"/>
  <c r="F18" i="37"/>
  <c r="G18" i="37" s="1"/>
  <c r="F15" i="37"/>
  <c r="G15" i="37" s="1"/>
  <c r="F14" i="37"/>
  <c r="G14" i="37" s="1"/>
  <c r="F11" i="37"/>
  <c r="G11" i="37" s="1"/>
  <c r="F10" i="37"/>
  <c r="G10" i="37" s="1"/>
  <c r="F8" i="37"/>
  <c r="G8" i="37" s="1"/>
  <c r="F7" i="37"/>
  <c r="G7" i="37" s="1"/>
  <c r="F6" i="37"/>
  <c r="G6" i="37" s="1"/>
  <c r="F5" i="37"/>
  <c r="G5" i="37" s="1"/>
  <c r="F4" i="37"/>
  <c r="G4" i="37" s="1"/>
  <c r="F2" i="37"/>
  <c r="G2" i="37" s="1"/>
  <c r="F24" i="37"/>
  <c r="G24" i="37" s="1"/>
  <c r="F3" i="37"/>
  <c r="G3" i="37" s="1"/>
  <c r="F9" i="37"/>
  <c r="G9" i="37" s="1"/>
  <c r="F31" i="37"/>
  <c r="G31" i="37" s="1"/>
  <c r="J1" i="38" l="1"/>
  <c r="J1" i="37"/>
  <c r="F31" i="34" l="1"/>
  <c r="G31" i="34" s="1"/>
  <c r="F31" i="35"/>
  <c r="G31" i="35" s="1"/>
  <c r="F31" i="36"/>
  <c r="G31" i="36" s="1"/>
  <c r="F31" i="6"/>
  <c r="G31" i="6" s="1"/>
  <c r="F31" i="7"/>
  <c r="G31" i="7" s="1"/>
  <c r="F31" i="8"/>
  <c r="G31" i="8" s="1"/>
  <c r="F31" i="9"/>
  <c r="G31" i="9" s="1"/>
  <c r="F31" i="10"/>
  <c r="G31" i="10" s="1"/>
  <c r="F31" i="11"/>
  <c r="G31" i="11" s="1"/>
  <c r="F31" i="12"/>
  <c r="G31" i="12" s="1"/>
  <c r="F31" i="13"/>
  <c r="G31" i="13" s="1"/>
  <c r="F31" i="14"/>
  <c r="G31" i="14" s="1"/>
  <c r="F31" i="15"/>
  <c r="G31" i="15" s="1"/>
  <c r="F31" i="16"/>
  <c r="G31" i="16" s="1"/>
  <c r="F31" i="17"/>
  <c r="G31" i="17" s="1"/>
  <c r="F31" i="18"/>
  <c r="G31" i="18" s="1"/>
  <c r="F31" i="19"/>
  <c r="G31" i="19" s="1"/>
  <c r="F31" i="20"/>
  <c r="G31" i="20" s="1"/>
  <c r="F31" i="21"/>
  <c r="G31" i="21" s="1"/>
  <c r="F31" i="22"/>
  <c r="G31" i="22" s="1"/>
  <c r="F31" i="23"/>
  <c r="G31" i="23" s="1"/>
  <c r="F31" i="24"/>
  <c r="G31" i="24" s="1"/>
  <c r="F31" i="25"/>
  <c r="G31" i="25" s="1"/>
  <c r="F31" i="26"/>
  <c r="G31" i="26" s="1"/>
  <c r="F31" i="27"/>
  <c r="G31" i="27" s="1"/>
  <c r="F31" i="28"/>
  <c r="G31" i="28" s="1"/>
  <c r="F31" i="29"/>
  <c r="G31" i="29" s="1"/>
  <c r="F31" i="30"/>
  <c r="G31" i="30" s="1"/>
  <c r="F31" i="31"/>
  <c r="G31" i="31" s="1"/>
  <c r="F31" i="32"/>
  <c r="G31" i="32" s="1"/>
  <c r="F31" i="33"/>
  <c r="G31" i="33" s="1"/>
  <c r="F9" i="34"/>
  <c r="G9" i="34" s="1"/>
  <c r="F9" i="35"/>
  <c r="G9" i="35" s="1"/>
  <c r="F9" i="36"/>
  <c r="G9" i="36" s="1"/>
  <c r="F9" i="6"/>
  <c r="G9" i="6" s="1"/>
  <c r="F9" i="7"/>
  <c r="G9" i="7" s="1"/>
  <c r="F9" i="8"/>
  <c r="G9" i="8" s="1"/>
  <c r="F9" i="9"/>
  <c r="G9" i="9" s="1"/>
  <c r="F9" i="10"/>
  <c r="G9" i="10" s="1"/>
  <c r="F9" i="11"/>
  <c r="G9" i="11" s="1"/>
  <c r="F9" i="12"/>
  <c r="G9" i="12" s="1"/>
  <c r="F9" i="13"/>
  <c r="G9" i="13" s="1"/>
  <c r="F9" i="14"/>
  <c r="G9" i="14" s="1"/>
  <c r="F9" i="15"/>
  <c r="G9" i="15" s="1"/>
  <c r="F9" i="16"/>
  <c r="G9" i="16" s="1"/>
  <c r="F9" i="17"/>
  <c r="G9" i="17" s="1"/>
  <c r="F9" i="18"/>
  <c r="G9" i="18" s="1"/>
  <c r="F9" i="19"/>
  <c r="G9" i="19" s="1"/>
  <c r="F9" i="20"/>
  <c r="G9" i="20" s="1"/>
  <c r="F9" i="21"/>
  <c r="G9" i="21" s="1"/>
  <c r="F9" i="22"/>
  <c r="G9" i="22" s="1"/>
  <c r="F9" i="23"/>
  <c r="G9" i="23" s="1"/>
  <c r="F9" i="24"/>
  <c r="G9" i="24" s="1"/>
  <c r="F9" i="25"/>
  <c r="G9" i="25" s="1"/>
  <c r="F9" i="26"/>
  <c r="G9" i="26" s="1"/>
  <c r="F9" i="27"/>
  <c r="G9" i="27" s="1"/>
  <c r="F9" i="28"/>
  <c r="G9" i="28" s="1"/>
  <c r="F9" i="29"/>
  <c r="G9" i="29" s="1"/>
  <c r="F9" i="30"/>
  <c r="G9" i="30" s="1"/>
  <c r="F9" i="31"/>
  <c r="G9" i="31" s="1"/>
  <c r="F9" i="32"/>
  <c r="G9" i="32" s="1"/>
  <c r="F9" i="33"/>
  <c r="G9" i="33" s="1"/>
  <c r="F3" i="34"/>
  <c r="G3" i="34" s="1"/>
  <c r="F3" i="35"/>
  <c r="G3" i="35" s="1"/>
  <c r="F3" i="36"/>
  <c r="G3" i="36" s="1"/>
  <c r="F3" i="6"/>
  <c r="G3" i="6" s="1"/>
  <c r="F3" i="7"/>
  <c r="G3" i="7" s="1"/>
  <c r="F3" i="8"/>
  <c r="G3" i="8" s="1"/>
  <c r="F3" i="9"/>
  <c r="G3" i="9" s="1"/>
  <c r="F3" i="10"/>
  <c r="G3" i="10" s="1"/>
  <c r="F3" i="11"/>
  <c r="G3" i="11" s="1"/>
  <c r="F3" i="12"/>
  <c r="G3" i="12" s="1"/>
  <c r="F3" i="13"/>
  <c r="G3" i="13" s="1"/>
  <c r="F3" i="14"/>
  <c r="G3" i="14" s="1"/>
  <c r="F3" i="15"/>
  <c r="G3" i="15" s="1"/>
  <c r="F3" i="16"/>
  <c r="G3" i="16" s="1"/>
  <c r="F3" i="17"/>
  <c r="G3" i="17" s="1"/>
  <c r="F3" i="18"/>
  <c r="G3" i="18" s="1"/>
  <c r="F3" i="19"/>
  <c r="G3" i="19" s="1"/>
  <c r="F3" i="20"/>
  <c r="G3" i="20" s="1"/>
  <c r="F3" i="21"/>
  <c r="G3" i="21" s="1"/>
  <c r="F3" i="22"/>
  <c r="G3" i="22" s="1"/>
  <c r="F3" i="23"/>
  <c r="G3" i="23" s="1"/>
  <c r="F3" i="24"/>
  <c r="G3" i="24" s="1"/>
  <c r="F3" i="25"/>
  <c r="G3" i="25" s="1"/>
  <c r="F3" i="26"/>
  <c r="G3" i="26" s="1"/>
  <c r="F3" i="27"/>
  <c r="G3" i="27" s="1"/>
  <c r="F3" i="28"/>
  <c r="G3" i="28" s="1"/>
  <c r="F3" i="29"/>
  <c r="G3" i="29" s="1"/>
  <c r="F3" i="30"/>
  <c r="G3" i="30" s="1"/>
  <c r="F3" i="31"/>
  <c r="G3" i="31" s="1"/>
  <c r="F3" i="32"/>
  <c r="G3" i="32" s="1"/>
  <c r="F3" i="33"/>
  <c r="G3" i="33" s="1"/>
  <c r="F24" i="34" l="1"/>
  <c r="G24" i="34" s="1"/>
  <c r="F24" i="35"/>
  <c r="G24" i="35" s="1"/>
  <c r="F24" i="36"/>
  <c r="G24" i="36" s="1"/>
  <c r="F24" i="6"/>
  <c r="G24" i="6" s="1"/>
  <c r="F24" i="7"/>
  <c r="G24" i="7" s="1"/>
  <c r="F24" i="8"/>
  <c r="G24" i="8" s="1"/>
  <c r="F24" i="9"/>
  <c r="G24" i="9" s="1"/>
  <c r="F24" i="10"/>
  <c r="G24" i="10" s="1"/>
  <c r="F24" i="11"/>
  <c r="G24" i="11" s="1"/>
  <c r="F24" i="12"/>
  <c r="G24" i="12" s="1"/>
  <c r="F24" i="13"/>
  <c r="G24" i="13" s="1"/>
  <c r="F24" i="14"/>
  <c r="G24" i="14" s="1"/>
  <c r="F24" i="15"/>
  <c r="G24" i="15" s="1"/>
  <c r="F24" i="16"/>
  <c r="G24" i="16" s="1"/>
  <c r="F24" i="17"/>
  <c r="G24" i="17" s="1"/>
  <c r="F24" i="18"/>
  <c r="G24" i="18" s="1"/>
  <c r="F24" i="19"/>
  <c r="G24" i="19" s="1"/>
  <c r="F24" i="20"/>
  <c r="G24" i="20" s="1"/>
  <c r="F24" i="21"/>
  <c r="G24" i="21" s="1"/>
  <c r="F24" i="22"/>
  <c r="G24" i="22" s="1"/>
  <c r="F24" i="23"/>
  <c r="G24" i="23" s="1"/>
  <c r="F24" i="24"/>
  <c r="G24" i="24" s="1"/>
  <c r="F24" i="25"/>
  <c r="G24" i="25" s="1"/>
  <c r="F24" i="26"/>
  <c r="G24" i="26" s="1"/>
  <c r="F24" i="27"/>
  <c r="G24" i="27" s="1"/>
  <c r="F24" i="28"/>
  <c r="G24" i="28" s="1"/>
  <c r="F24" i="29"/>
  <c r="G24" i="29" s="1"/>
  <c r="F24" i="30"/>
  <c r="G24" i="30" s="1"/>
  <c r="F24" i="31"/>
  <c r="G24" i="31" s="1"/>
  <c r="F24" i="32"/>
  <c r="G24" i="32" s="1"/>
  <c r="F24" i="33"/>
  <c r="G24" i="33" s="1"/>
  <c r="F39" i="36" l="1"/>
  <c r="G39" i="36" s="1"/>
  <c r="F37" i="36"/>
  <c r="G37" i="36" s="1"/>
  <c r="F36" i="36"/>
  <c r="G36" i="36" s="1"/>
  <c r="F35" i="36"/>
  <c r="G35" i="36" s="1"/>
  <c r="F34" i="36"/>
  <c r="G34" i="36" s="1"/>
  <c r="F33" i="36"/>
  <c r="G33" i="36" s="1"/>
  <c r="F32" i="36"/>
  <c r="G32" i="36" s="1"/>
  <c r="F30" i="36"/>
  <c r="G30" i="36" s="1"/>
  <c r="F28" i="36"/>
  <c r="G28" i="36" s="1"/>
  <c r="F27" i="36"/>
  <c r="G27" i="36" s="1"/>
  <c r="F26" i="36"/>
  <c r="G26" i="36" s="1"/>
  <c r="F25" i="36"/>
  <c r="G25" i="36" s="1"/>
  <c r="F23" i="36"/>
  <c r="G23" i="36" s="1"/>
  <c r="F22" i="36"/>
  <c r="G22" i="36" s="1"/>
  <c r="F21" i="36"/>
  <c r="G21" i="36" s="1"/>
  <c r="F20" i="36"/>
  <c r="G20" i="36" s="1"/>
  <c r="F19" i="36"/>
  <c r="G19" i="36" s="1"/>
  <c r="F18" i="36"/>
  <c r="G18" i="36" s="1"/>
  <c r="F15" i="36"/>
  <c r="G15" i="36" s="1"/>
  <c r="F14" i="36"/>
  <c r="G14" i="36" s="1"/>
  <c r="F11" i="36"/>
  <c r="G11" i="36" s="1"/>
  <c r="F10" i="36"/>
  <c r="G10" i="36" s="1"/>
  <c r="F8" i="36"/>
  <c r="G8" i="36" s="1"/>
  <c r="F7" i="36"/>
  <c r="G7" i="36" s="1"/>
  <c r="F6" i="36"/>
  <c r="G6" i="36" s="1"/>
  <c r="F5" i="36"/>
  <c r="G5" i="36" s="1"/>
  <c r="F4" i="36"/>
  <c r="G4" i="36" s="1"/>
  <c r="F2" i="36"/>
  <c r="G2" i="36" s="1"/>
  <c r="F39" i="35"/>
  <c r="G39" i="35" s="1"/>
  <c r="F37" i="35"/>
  <c r="G37" i="35" s="1"/>
  <c r="F36" i="35"/>
  <c r="G36" i="35" s="1"/>
  <c r="F35" i="35"/>
  <c r="G35" i="35" s="1"/>
  <c r="F34" i="35"/>
  <c r="G34" i="35" s="1"/>
  <c r="F33" i="35"/>
  <c r="G33" i="35" s="1"/>
  <c r="F32" i="35"/>
  <c r="G32" i="35" s="1"/>
  <c r="F30" i="35"/>
  <c r="G30" i="35" s="1"/>
  <c r="F28" i="35"/>
  <c r="G28" i="35" s="1"/>
  <c r="F27" i="35"/>
  <c r="G27" i="35" s="1"/>
  <c r="F26" i="35"/>
  <c r="G26" i="35" s="1"/>
  <c r="F25" i="35"/>
  <c r="G25" i="35" s="1"/>
  <c r="F23" i="35"/>
  <c r="G23" i="35" s="1"/>
  <c r="F22" i="35"/>
  <c r="G22" i="35" s="1"/>
  <c r="F21" i="35"/>
  <c r="G21" i="35" s="1"/>
  <c r="F20" i="35"/>
  <c r="G20" i="35" s="1"/>
  <c r="F19" i="35"/>
  <c r="G19" i="35" s="1"/>
  <c r="F18" i="35"/>
  <c r="G18" i="35" s="1"/>
  <c r="F15" i="35"/>
  <c r="G15" i="35" s="1"/>
  <c r="F14" i="35"/>
  <c r="G14" i="35" s="1"/>
  <c r="F11" i="35"/>
  <c r="G11" i="35" s="1"/>
  <c r="F10" i="35"/>
  <c r="G10" i="35" s="1"/>
  <c r="F8" i="35"/>
  <c r="G8" i="35" s="1"/>
  <c r="F7" i="35"/>
  <c r="G7" i="35" s="1"/>
  <c r="F6" i="35"/>
  <c r="G6" i="35" s="1"/>
  <c r="F5" i="35"/>
  <c r="G5" i="35" s="1"/>
  <c r="F4" i="35"/>
  <c r="G4" i="35" s="1"/>
  <c r="F2" i="35"/>
  <c r="G2" i="35" s="1"/>
  <c r="F39" i="34"/>
  <c r="G39" i="34" s="1"/>
  <c r="F37" i="34"/>
  <c r="G37" i="34" s="1"/>
  <c r="F36" i="34"/>
  <c r="G36" i="34" s="1"/>
  <c r="F35" i="34"/>
  <c r="G35" i="34" s="1"/>
  <c r="F34" i="34"/>
  <c r="G34" i="34" s="1"/>
  <c r="F33" i="34"/>
  <c r="G33" i="34" s="1"/>
  <c r="F32" i="34"/>
  <c r="G32" i="34" s="1"/>
  <c r="F30" i="34"/>
  <c r="G30" i="34" s="1"/>
  <c r="F28" i="34"/>
  <c r="G28" i="34" s="1"/>
  <c r="F27" i="34"/>
  <c r="G27" i="34" s="1"/>
  <c r="F26" i="34"/>
  <c r="G26" i="34" s="1"/>
  <c r="F25" i="34"/>
  <c r="G25" i="34" s="1"/>
  <c r="F23" i="34"/>
  <c r="G23" i="34" s="1"/>
  <c r="F22" i="34"/>
  <c r="G22" i="34" s="1"/>
  <c r="F21" i="34"/>
  <c r="G21" i="34" s="1"/>
  <c r="F20" i="34"/>
  <c r="G20" i="34" s="1"/>
  <c r="F19" i="34"/>
  <c r="G19" i="34" s="1"/>
  <c r="F18" i="34"/>
  <c r="G18" i="34" s="1"/>
  <c r="F15" i="34"/>
  <c r="G15" i="34" s="1"/>
  <c r="F14" i="34"/>
  <c r="G14" i="34" s="1"/>
  <c r="F11" i="34"/>
  <c r="G11" i="34" s="1"/>
  <c r="F10" i="34"/>
  <c r="G10" i="34" s="1"/>
  <c r="F8" i="34"/>
  <c r="G8" i="34" s="1"/>
  <c r="F7" i="34"/>
  <c r="G7" i="34" s="1"/>
  <c r="F6" i="34"/>
  <c r="G6" i="34" s="1"/>
  <c r="F5" i="34"/>
  <c r="G5" i="34" s="1"/>
  <c r="F4" i="34"/>
  <c r="G4" i="34" s="1"/>
  <c r="F2" i="34"/>
  <c r="G2" i="34" s="1"/>
  <c r="F39" i="33"/>
  <c r="G39" i="33" s="1"/>
  <c r="F37" i="33"/>
  <c r="G37" i="33" s="1"/>
  <c r="F36" i="33"/>
  <c r="G36" i="33" s="1"/>
  <c r="F35" i="33"/>
  <c r="G35" i="33" s="1"/>
  <c r="F34" i="33"/>
  <c r="G34" i="33" s="1"/>
  <c r="F33" i="33"/>
  <c r="G33" i="33" s="1"/>
  <c r="F32" i="33"/>
  <c r="G32" i="33" s="1"/>
  <c r="F30" i="33"/>
  <c r="G30" i="33" s="1"/>
  <c r="F28" i="33"/>
  <c r="G28" i="33" s="1"/>
  <c r="F27" i="33"/>
  <c r="G27" i="33" s="1"/>
  <c r="F26" i="33"/>
  <c r="G26" i="33" s="1"/>
  <c r="F25" i="33"/>
  <c r="G25" i="33" s="1"/>
  <c r="F23" i="33"/>
  <c r="G23" i="33" s="1"/>
  <c r="F22" i="33"/>
  <c r="G22" i="33" s="1"/>
  <c r="F21" i="33"/>
  <c r="G21" i="33" s="1"/>
  <c r="F20" i="33"/>
  <c r="G20" i="33" s="1"/>
  <c r="F19" i="33"/>
  <c r="G19" i="33" s="1"/>
  <c r="F18" i="33"/>
  <c r="G18" i="33" s="1"/>
  <c r="F15" i="33"/>
  <c r="G15" i="33" s="1"/>
  <c r="F14" i="33"/>
  <c r="G14" i="33" s="1"/>
  <c r="F11" i="33"/>
  <c r="G11" i="33" s="1"/>
  <c r="F10" i="33"/>
  <c r="G10" i="33" s="1"/>
  <c r="F8" i="33"/>
  <c r="G8" i="33" s="1"/>
  <c r="F7" i="33"/>
  <c r="G7" i="33" s="1"/>
  <c r="F6" i="33"/>
  <c r="G6" i="33" s="1"/>
  <c r="F5" i="33"/>
  <c r="G5" i="33" s="1"/>
  <c r="F4" i="33"/>
  <c r="G4" i="33" s="1"/>
  <c r="F2" i="33"/>
  <c r="G2" i="33" s="1"/>
  <c r="F39" i="32"/>
  <c r="G39" i="32" s="1"/>
  <c r="F37" i="32"/>
  <c r="G37" i="32" s="1"/>
  <c r="F36" i="32"/>
  <c r="G36" i="32" s="1"/>
  <c r="F35" i="32"/>
  <c r="G35" i="32" s="1"/>
  <c r="F34" i="32"/>
  <c r="G34" i="32" s="1"/>
  <c r="F33" i="32"/>
  <c r="G33" i="32" s="1"/>
  <c r="F32" i="32"/>
  <c r="G32" i="32" s="1"/>
  <c r="F30" i="32"/>
  <c r="G30" i="32" s="1"/>
  <c r="F28" i="32"/>
  <c r="G28" i="32" s="1"/>
  <c r="F27" i="32"/>
  <c r="G27" i="32" s="1"/>
  <c r="F26" i="32"/>
  <c r="G26" i="32" s="1"/>
  <c r="F25" i="32"/>
  <c r="G25" i="32" s="1"/>
  <c r="F23" i="32"/>
  <c r="G23" i="32" s="1"/>
  <c r="F22" i="32"/>
  <c r="G22" i="32" s="1"/>
  <c r="F21" i="32"/>
  <c r="G21" i="32" s="1"/>
  <c r="F20" i="32"/>
  <c r="G20" i="32" s="1"/>
  <c r="F19" i="32"/>
  <c r="G19" i="32" s="1"/>
  <c r="F18" i="32"/>
  <c r="G18" i="32" s="1"/>
  <c r="F15" i="32"/>
  <c r="G15" i="32" s="1"/>
  <c r="F14" i="32"/>
  <c r="G14" i="32" s="1"/>
  <c r="F11" i="32"/>
  <c r="G11" i="32" s="1"/>
  <c r="F10" i="32"/>
  <c r="G10" i="32" s="1"/>
  <c r="F8" i="32"/>
  <c r="G8" i="32" s="1"/>
  <c r="F7" i="32"/>
  <c r="G7" i="32" s="1"/>
  <c r="F6" i="32"/>
  <c r="G6" i="32" s="1"/>
  <c r="F5" i="32"/>
  <c r="G5" i="32" s="1"/>
  <c r="F4" i="32"/>
  <c r="G4" i="32" s="1"/>
  <c r="F2" i="32"/>
  <c r="G2" i="32" s="1"/>
  <c r="F39" i="31"/>
  <c r="G39" i="31" s="1"/>
  <c r="F37" i="31"/>
  <c r="G37" i="31" s="1"/>
  <c r="F36" i="31"/>
  <c r="G36" i="31" s="1"/>
  <c r="F35" i="31"/>
  <c r="G35" i="31" s="1"/>
  <c r="F34" i="31"/>
  <c r="G34" i="31" s="1"/>
  <c r="F33" i="31"/>
  <c r="G33" i="31" s="1"/>
  <c r="F32" i="31"/>
  <c r="G32" i="31" s="1"/>
  <c r="F30" i="31"/>
  <c r="G30" i="31" s="1"/>
  <c r="F28" i="31"/>
  <c r="G28" i="31" s="1"/>
  <c r="F27" i="31"/>
  <c r="G27" i="31" s="1"/>
  <c r="F26" i="31"/>
  <c r="G26" i="31" s="1"/>
  <c r="F25" i="31"/>
  <c r="G25" i="31" s="1"/>
  <c r="F23" i="31"/>
  <c r="G23" i="31" s="1"/>
  <c r="F22" i="31"/>
  <c r="G22" i="31" s="1"/>
  <c r="F21" i="31"/>
  <c r="G21" i="31" s="1"/>
  <c r="F20" i="31"/>
  <c r="G20" i="31" s="1"/>
  <c r="F19" i="31"/>
  <c r="G19" i="31" s="1"/>
  <c r="F18" i="31"/>
  <c r="G18" i="31" s="1"/>
  <c r="F15" i="31"/>
  <c r="G15" i="31" s="1"/>
  <c r="F14" i="31"/>
  <c r="G14" i="31" s="1"/>
  <c r="F11" i="31"/>
  <c r="G11" i="31" s="1"/>
  <c r="F10" i="31"/>
  <c r="G10" i="31" s="1"/>
  <c r="F8" i="31"/>
  <c r="G8" i="31" s="1"/>
  <c r="F7" i="31"/>
  <c r="G7" i="31" s="1"/>
  <c r="F6" i="31"/>
  <c r="G6" i="31" s="1"/>
  <c r="F5" i="31"/>
  <c r="G5" i="31" s="1"/>
  <c r="F4" i="31"/>
  <c r="G4" i="31" s="1"/>
  <c r="F2" i="31"/>
  <c r="G2" i="31" s="1"/>
  <c r="F39" i="30"/>
  <c r="G39" i="30" s="1"/>
  <c r="F37" i="30"/>
  <c r="G37" i="30" s="1"/>
  <c r="F36" i="30"/>
  <c r="G36" i="30" s="1"/>
  <c r="F35" i="30"/>
  <c r="G35" i="30" s="1"/>
  <c r="F34" i="30"/>
  <c r="G34" i="30" s="1"/>
  <c r="F33" i="30"/>
  <c r="G33" i="30" s="1"/>
  <c r="F32" i="30"/>
  <c r="G32" i="30" s="1"/>
  <c r="F30" i="30"/>
  <c r="G30" i="30" s="1"/>
  <c r="F28" i="30"/>
  <c r="G28" i="30" s="1"/>
  <c r="F27" i="30"/>
  <c r="G27" i="30" s="1"/>
  <c r="F26" i="30"/>
  <c r="G26" i="30" s="1"/>
  <c r="F25" i="30"/>
  <c r="G25" i="30" s="1"/>
  <c r="F23" i="30"/>
  <c r="G23" i="30" s="1"/>
  <c r="F22" i="30"/>
  <c r="G22" i="30" s="1"/>
  <c r="F21" i="30"/>
  <c r="G21" i="30" s="1"/>
  <c r="F20" i="30"/>
  <c r="G20" i="30" s="1"/>
  <c r="F19" i="30"/>
  <c r="G19" i="30" s="1"/>
  <c r="F18" i="30"/>
  <c r="G18" i="30" s="1"/>
  <c r="F15" i="30"/>
  <c r="G15" i="30" s="1"/>
  <c r="F14" i="30"/>
  <c r="G14" i="30" s="1"/>
  <c r="F11" i="30"/>
  <c r="G11" i="30" s="1"/>
  <c r="F10" i="30"/>
  <c r="G10" i="30" s="1"/>
  <c r="F8" i="30"/>
  <c r="G8" i="30" s="1"/>
  <c r="F7" i="30"/>
  <c r="G7" i="30" s="1"/>
  <c r="F6" i="30"/>
  <c r="G6" i="30" s="1"/>
  <c r="F5" i="30"/>
  <c r="G5" i="30" s="1"/>
  <c r="F4" i="30"/>
  <c r="G4" i="30" s="1"/>
  <c r="F2" i="30"/>
  <c r="G2" i="30" s="1"/>
  <c r="F39" i="29"/>
  <c r="G39" i="29" s="1"/>
  <c r="F37" i="29"/>
  <c r="G37" i="29" s="1"/>
  <c r="F36" i="29"/>
  <c r="G36" i="29" s="1"/>
  <c r="F35" i="29"/>
  <c r="G35" i="29" s="1"/>
  <c r="F34" i="29"/>
  <c r="G34" i="29" s="1"/>
  <c r="F33" i="29"/>
  <c r="G33" i="29" s="1"/>
  <c r="F32" i="29"/>
  <c r="G32" i="29" s="1"/>
  <c r="F30" i="29"/>
  <c r="G30" i="29" s="1"/>
  <c r="F28" i="29"/>
  <c r="G28" i="29" s="1"/>
  <c r="F27" i="29"/>
  <c r="G27" i="29" s="1"/>
  <c r="F26" i="29"/>
  <c r="G26" i="29" s="1"/>
  <c r="F25" i="29"/>
  <c r="G25" i="29" s="1"/>
  <c r="F23" i="29"/>
  <c r="G23" i="29" s="1"/>
  <c r="F22" i="29"/>
  <c r="G22" i="29" s="1"/>
  <c r="F21" i="29"/>
  <c r="G21" i="29" s="1"/>
  <c r="F20" i="29"/>
  <c r="G20" i="29" s="1"/>
  <c r="F19" i="29"/>
  <c r="G19" i="29" s="1"/>
  <c r="F18" i="29"/>
  <c r="G18" i="29" s="1"/>
  <c r="F15" i="29"/>
  <c r="G15" i="29" s="1"/>
  <c r="F14" i="29"/>
  <c r="G14" i="29" s="1"/>
  <c r="F11" i="29"/>
  <c r="G11" i="29" s="1"/>
  <c r="F10" i="29"/>
  <c r="G10" i="29" s="1"/>
  <c r="F8" i="29"/>
  <c r="G8" i="29" s="1"/>
  <c r="F7" i="29"/>
  <c r="G7" i="29" s="1"/>
  <c r="F6" i="29"/>
  <c r="G6" i="29" s="1"/>
  <c r="F5" i="29"/>
  <c r="G5" i="29" s="1"/>
  <c r="F4" i="29"/>
  <c r="G4" i="29" s="1"/>
  <c r="F2" i="29"/>
  <c r="G2" i="29" s="1"/>
  <c r="F39" i="28"/>
  <c r="G39" i="28" s="1"/>
  <c r="F37" i="28"/>
  <c r="G37" i="28" s="1"/>
  <c r="F36" i="28"/>
  <c r="G36" i="28" s="1"/>
  <c r="F35" i="28"/>
  <c r="G35" i="28" s="1"/>
  <c r="F34" i="28"/>
  <c r="G34" i="28" s="1"/>
  <c r="F33" i="28"/>
  <c r="G33" i="28" s="1"/>
  <c r="F32" i="28"/>
  <c r="G32" i="28" s="1"/>
  <c r="F30" i="28"/>
  <c r="G30" i="28" s="1"/>
  <c r="F28" i="28"/>
  <c r="G28" i="28" s="1"/>
  <c r="F27" i="28"/>
  <c r="G27" i="28" s="1"/>
  <c r="F26" i="28"/>
  <c r="G26" i="28" s="1"/>
  <c r="F25" i="28"/>
  <c r="G25" i="28" s="1"/>
  <c r="F23" i="28"/>
  <c r="G23" i="28" s="1"/>
  <c r="F22" i="28"/>
  <c r="G22" i="28" s="1"/>
  <c r="F21" i="28"/>
  <c r="G21" i="28" s="1"/>
  <c r="F20" i="28"/>
  <c r="G20" i="28" s="1"/>
  <c r="F19" i="28"/>
  <c r="G19" i="28" s="1"/>
  <c r="F18" i="28"/>
  <c r="G18" i="28" s="1"/>
  <c r="F15" i="28"/>
  <c r="G15" i="28" s="1"/>
  <c r="F14" i="28"/>
  <c r="G14" i="28" s="1"/>
  <c r="F11" i="28"/>
  <c r="G11" i="28" s="1"/>
  <c r="F10" i="28"/>
  <c r="G10" i="28" s="1"/>
  <c r="F8" i="28"/>
  <c r="G8" i="28" s="1"/>
  <c r="F7" i="28"/>
  <c r="G7" i="28" s="1"/>
  <c r="F6" i="28"/>
  <c r="G6" i="28" s="1"/>
  <c r="F5" i="28"/>
  <c r="G5" i="28" s="1"/>
  <c r="F4" i="28"/>
  <c r="G4" i="28" s="1"/>
  <c r="F2" i="28"/>
  <c r="G2" i="28" s="1"/>
  <c r="F39" i="27"/>
  <c r="G39" i="27" s="1"/>
  <c r="F37" i="27"/>
  <c r="G37" i="27" s="1"/>
  <c r="F36" i="27"/>
  <c r="G36" i="27" s="1"/>
  <c r="F35" i="27"/>
  <c r="G35" i="27" s="1"/>
  <c r="F34" i="27"/>
  <c r="G34" i="27" s="1"/>
  <c r="F33" i="27"/>
  <c r="G33" i="27" s="1"/>
  <c r="F32" i="27"/>
  <c r="G32" i="27" s="1"/>
  <c r="F30" i="27"/>
  <c r="G30" i="27" s="1"/>
  <c r="F28" i="27"/>
  <c r="G28" i="27" s="1"/>
  <c r="F27" i="27"/>
  <c r="G27" i="27" s="1"/>
  <c r="F26" i="27"/>
  <c r="G26" i="27" s="1"/>
  <c r="F25" i="27"/>
  <c r="G25" i="27" s="1"/>
  <c r="F23" i="27"/>
  <c r="G23" i="27" s="1"/>
  <c r="F22" i="27"/>
  <c r="G22" i="27" s="1"/>
  <c r="F21" i="27"/>
  <c r="G21" i="27" s="1"/>
  <c r="F20" i="27"/>
  <c r="G20" i="27" s="1"/>
  <c r="F19" i="27"/>
  <c r="G19" i="27" s="1"/>
  <c r="F18" i="27"/>
  <c r="G18" i="27" s="1"/>
  <c r="F15" i="27"/>
  <c r="G15" i="27" s="1"/>
  <c r="F14" i="27"/>
  <c r="G14" i="27" s="1"/>
  <c r="F11" i="27"/>
  <c r="G11" i="27" s="1"/>
  <c r="F10" i="27"/>
  <c r="G10" i="27" s="1"/>
  <c r="F8" i="27"/>
  <c r="G8" i="27" s="1"/>
  <c r="F7" i="27"/>
  <c r="G7" i="27" s="1"/>
  <c r="F6" i="27"/>
  <c r="G6" i="27" s="1"/>
  <c r="F5" i="27"/>
  <c r="G5" i="27" s="1"/>
  <c r="F4" i="27"/>
  <c r="G4" i="27" s="1"/>
  <c r="F2" i="27"/>
  <c r="G2" i="27" s="1"/>
  <c r="F39" i="26"/>
  <c r="G39" i="26" s="1"/>
  <c r="F37" i="26"/>
  <c r="G37" i="26" s="1"/>
  <c r="F36" i="26"/>
  <c r="G36" i="26" s="1"/>
  <c r="F35" i="26"/>
  <c r="G35" i="26" s="1"/>
  <c r="F34" i="26"/>
  <c r="G34" i="26" s="1"/>
  <c r="F33" i="26"/>
  <c r="G33" i="26" s="1"/>
  <c r="F32" i="26"/>
  <c r="G32" i="26" s="1"/>
  <c r="F30" i="26"/>
  <c r="G30" i="26" s="1"/>
  <c r="F28" i="26"/>
  <c r="G28" i="26" s="1"/>
  <c r="F27" i="26"/>
  <c r="G27" i="26" s="1"/>
  <c r="F26" i="26"/>
  <c r="G26" i="26" s="1"/>
  <c r="F25" i="26"/>
  <c r="G25" i="26" s="1"/>
  <c r="F23" i="26"/>
  <c r="G23" i="26" s="1"/>
  <c r="F22" i="26"/>
  <c r="G22" i="26" s="1"/>
  <c r="F21" i="26"/>
  <c r="G21" i="26" s="1"/>
  <c r="F20" i="26"/>
  <c r="G20" i="26" s="1"/>
  <c r="F19" i="26"/>
  <c r="G19" i="26" s="1"/>
  <c r="F18" i="26"/>
  <c r="G18" i="26" s="1"/>
  <c r="F15" i="26"/>
  <c r="G15" i="26" s="1"/>
  <c r="F14" i="26"/>
  <c r="G14" i="26" s="1"/>
  <c r="F11" i="26"/>
  <c r="G11" i="26" s="1"/>
  <c r="F10" i="26"/>
  <c r="G10" i="26" s="1"/>
  <c r="F8" i="26"/>
  <c r="G8" i="26" s="1"/>
  <c r="F7" i="26"/>
  <c r="G7" i="26" s="1"/>
  <c r="F6" i="26"/>
  <c r="G6" i="26" s="1"/>
  <c r="F5" i="26"/>
  <c r="G5" i="26" s="1"/>
  <c r="F4" i="26"/>
  <c r="G4" i="26" s="1"/>
  <c r="F2" i="26"/>
  <c r="G2" i="26" s="1"/>
  <c r="F39" i="25"/>
  <c r="G39" i="25" s="1"/>
  <c r="F37" i="25"/>
  <c r="G37" i="25" s="1"/>
  <c r="F36" i="25"/>
  <c r="G36" i="25" s="1"/>
  <c r="F35" i="25"/>
  <c r="G35" i="25" s="1"/>
  <c r="F34" i="25"/>
  <c r="G34" i="25" s="1"/>
  <c r="F33" i="25"/>
  <c r="G33" i="25" s="1"/>
  <c r="F32" i="25"/>
  <c r="G32" i="25" s="1"/>
  <c r="F30" i="25"/>
  <c r="G30" i="25" s="1"/>
  <c r="F28" i="25"/>
  <c r="G28" i="25" s="1"/>
  <c r="F27" i="25"/>
  <c r="G27" i="25" s="1"/>
  <c r="F26" i="25"/>
  <c r="G26" i="25" s="1"/>
  <c r="F25" i="25"/>
  <c r="G25" i="25" s="1"/>
  <c r="F23" i="25"/>
  <c r="G23" i="25" s="1"/>
  <c r="F22" i="25"/>
  <c r="G22" i="25" s="1"/>
  <c r="F21" i="25"/>
  <c r="G21" i="25" s="1"/>
  <c r="F20" i="25"/>
  <c r="G20" i="25" s="1"/>
  <c r="F19" i="25"/>
  <c r="G19" i="25" s="1"/>
  <c r="F18" i="25"/>
  <c r="G18" i="25" s="1"/>
  <c r="F15" i="25"/>
  <c r="G15" i="25" s="1"/>
  <c r="F14" i="25"/>
  <c r="G14" i="25" s="1"/>
  <c r="F11" i="25"/>
  <c r="G11" i="25" s="1"/>
  <c r="F10" i="25"/>
  <c r="G10" i="25" s="1"/>
  <c r="F8" i="25"/>
  <c r="G8" i="25" s="1"/>
  <c r="F7" i="25"/>
  <c r="G7" i="25" s="1"/>
  <c r="F6" i="25"/>
  <c r="G6" i="25" s="1"/>
  <c r="F5" i="25"/>
  <c r="G5" i="25" s="1"/>
  <c r="F4" i="25"/>
  <c r="G4" i="25" s="1"/>
  <c r="F2" i="25"/>
  <c r="G2" i="25" s="1"/>
  <c r="F39" i="24"/>
  <c r="G39" i="24" s="1"/>
  <c r="F37" i="24"/>
  <c r="G37" i="24" s="1"/>
  <c r="F36" i="24"/>
  <c r="G36" i="24" s="1"/>
  <c r="F35" i="24"/>
  <c r="G35" i="24" s="1"/>
  <c r="F34" i="24"/>
  <c r="G34" i="24" s="1"/>
  <c r="F33" i="24"/>
  <c r="G33" i="24" s="1"/>
  <c r="F32" i="24"/>
  <c r="G32" i="24" s="1"/>
  <c r="F30" i="24"/>
  <c r="G30" i="24" s="1"/>
  <c r="F28" i="24"/>
  <c r="G28" i="24" s="1"/>
  <c r="F27" i="24"/>
  <c r="G27" i="24" s="1"/>
  <c r="F26" i="24"/>
  <c r="G26" i="24" s="1"/>
  <c r="F25" i="24"/>
  <c r="G25" i="24" s="1"/>
  <c r="F23" i="24"/>
  <c r="G23" i="24" s="1"/>
  <c r="F22" i="24"/>
  <c r="G22" i="24" s="1"/>
  <c r="F21" i="24"/>
  <c r="G21" i="24" s="1"/>
  <c r="F20" i="24"/>
  <c r="G20" i="24" s="1"/>
  <c r="F19" i="24"/>
  <c r="G19" i="24" s="1"/>
  <c r="F18" i="24"/>
  <c r="G18" i="24" s="1"/>
  <c r="F15" i="24"/>
  <c r="G15" i="24" s="1"/>
  <c r="F14" i="24"/>
  <c r="G14" i="24" s="1"/>
  <c r="F11" i="24"/>
  <c r="G11" i="24" s="1"/>
  <c r="F10" i="24"/>
  <c r="G10" i="24" s="1"/>
  <c r="F8" i="24"/>
  <c r="G8" i="24" s="1"/>
  <c r="F7" i="24"/>
  <c r="G7" i="24" s="1"/>
  <c r="F6" i="24"/>
  <c r="G6" i="24" s="1"/>
  <c r="F5" i="24"/>
  <c r="G5" i="24" s="1"/>
  <c r="F4" i="24"/>
  <c r="G4" i="24" s="1"/>
  <c r="F2" i="24"/>
  <c r="G2" i="24" s="1"/>
  <c r="F39" i="23"/>
  <c r="G39" i="23" s="1"/>
  <c r="F37" i="23"/>
  <c r="G37" i="23" s="1"/>
  <c r="F36" i="23"/>
  <c r="G36" i="23" s="1"/>
  <c r="F35" i="23"/>
  <c r="G35" i="23" s="1"/>
  <c r="F34" i="23"/>
  <c r="G34" i="23" s="1"/>
  <c r="F33" i="23"/>
  <c r="G33" i="23" s="1"/>
  <c r="F32" i="23"/>
  <c r="G32" i="23" s="1"/>
  <c r="F30" i="23"/>
  <c r="G30" i="23" s="1"/>
  <c r="F28" i="23"/>
  <c r="G28" i="23" s="1"/>
  <c r="F27" i="23"/>
  <c r="G27" i="23" s="1"/>
  <c r="F26" i="23"/>
  <c r="G26" i="23" s="1"/>
  <c r="F25" i="23"/>
  <c r="G25" i="23" s="1"/>
  <c r="F23" i="23"/>
  <c r="G23" i="23" s="1"/>
  <c r="F22" i="23"/>
  <c r="G22" i="23" s="1"/>
  <c r="F21" i="23"/>
  <c r="G21" i="23" s="1"/>
  <c r="F20" i="23"/>
  <c r="G20" i="23" s="1"/>
  <c r="F19" i="23"/>
  <c r="G19" i="23" s="1"/>
  <c r="F18" i="23"/>
  <c r="G18" i="23" s="1"/>
  <c r="F15" i="23"/>
  <c r="G15" i="23" s="1"/>
  <c r="F14" i="23"/>
  <c r="G14" i="23" s="1"/>
  <c r="F11" i="23"/>
  <c r="G11" i="23" s="1"/>
  <c r="F10" i="23"/>
  <c r="G10" i="23" s="1"/>
  <c r="F8" i="23"/>
  <c r="G8" i="23" s="1"/>
  <c r="F7" i="23"/>
  <c r="G7" i="23" s="1"/>
  <c r="F6" i="23"/>
  <c r="G6" i="23" s="1"/>
  <c r="F5" i="23"/>
  <c r="G5" i="23" s="1"/>
  <c r="F4" i="23"/>
  <c r="G4" i="23" s="1"/>
  <c r="F2" i="23"/>
  <c r="G2" i="23" s="1"/>
  <c r="F39" i="22"/>
  <c r="G39" i="22" s="1"/>
  <c r="F37" i="22"/>
  <c r="G37" i="22" s="1"/>
  <c r="F36" i="22"/>
  <c r="G36" i="22" s="1"/>
  <c r="F35" i="22"/>
  <c r="G35" i="22" s="1"/>
  <c r="F34" i="22"/>
  <c r="G34" i="22" s="1"/>
  <c r="F33" i="22"/>
  <c r="G33" i="22" s="1"/>
  <c r="F32" i="22"/>
  <c r="G32" i="22" s="1"/>
  <c r="F30" i="22"/>
  <c r="G30" i="22" s="1"/>
  <c r="F28" i="22"/>
  <c r="G28" i="22" s="1"/>
  <c r="F27" i="22"/>
  <c r="G27" i="22" s="1"/>
  <c r="F26" i="22"/>
  <c r="G26" i="22" s="1"/>
  <c r="F25" i="22"/>
  <c r="G25" i="22" s="1"/>
  <c r="F23" i="22"/>
  <c r="G23" i="22" s="1"/>
  <c r="F22" i="22"/>
  <c r="G22" i="22" s="1"/>
  <c r="F21" i="22"/>
  <c r="G21" i="22" s="1"/>
  <c r="F20" i="22"/>
  <c r="G20" i="22" s="1"/>
  <c r="F19" i="22"/>
  <c r="G19" i="22" s="1"/>
  <c r="F18" i="22"/>
  <c r="G18" i="22" s="1"/>
  <c r="F15" i="22"/>
  <c r="G15" i="22" s="1"/>
  <c r="F14" i="22"/>
  <c r="G14" i="22" s="1"/>
  <c r="F11" i="22"/>
  <c r="G11" i="22" s="1"/>
  <c r="F10" i="22"/>
  <c r="G10" i="22" s="1"/>
  <c r="F8" i="22"/>
  <c r="G8" i="22" s="1"/>
  <c r="F7" i="22"/>
  <c r="G7" i="22" s="1"/>
  <c r="F6" i="22"/>
  <c r="G6" i="22" s="1"/>
  <c r="F5" i="22"/>
  <c r="G5" i="22" s="1"/>
  <c r="F4" i="22"/>
  <c r="G4" i="22" s="1"/>
  <c r="F2" i="22"/>
  <c r="G2" i="22" s="1"/>
  <c r="F39" i="21"/>
  <c r="G39" i="21" s="1"/>
  <c r="F37" i="21"/>
  <c r="G37" i="21" s="1"/>
  <c r="F36" i="21"/>
  <c r="G36" i="21" s="1"/>
  <c r="F35" i="21"/>
  <c r="G35" i="21" s="1"/>
  <c r="F34" i="21"/>
  <c r="G34" i="21" s="1"/>
  <c r="F33" i="21"/>
  <c r="G33" i="21" s="1"/>
  <c r="F32" i="21"/>
  <c r="G32" i="21" s="1"/>
  <c r="F30" i="21"/>
  <c r="G30" i="21" s="1"/>
  <c r="F28" i="21"/>
  <c r="G28" i="21" s="1"/>
  <c r="F27" i="21"/>
  <c r="G27" i="21" s="1"/>
  <c r="F26" i="21"/>
  <c r="G26" i="21" s="1"/>
  <c r="F25" i="21"/>
  <c r="G25" i="21" s="1"/>
  <c r="F23" i="21"/>
  <c r="G23" i="21" s="1"/>
  <c r="F22" i="21"/>
  <c r="G22" i="21" s="1"/>
  <c r="F21" i="21"/>
  <c r="G21" i="21" s="1"/>
  <c r="F20" i="21"/>
  <c r="G20" i="21" s="1"/>
  <c r="F19" i="21"/>
  <c r="G19" i="21" s="1"/>
  <c r="F18" i="21"/>
  <c r="G18" i="21" s="1"/>
  <c r="F15" i="21"/>
  <c r="G15" i="21" s="1"/>
  <c r="F14" i="21"/>
  <c r="G14" i="21" s="1"/>
  <c r="F11" i="21"/>
  <c r="G11" i="21" s="1"/>
  <c r="F10" i="21"/>
  <c r="G10" i="21" s="1"/>
  <c r="F8" i="21"/>
  <c r="G8" i="21" s="1"/>
  <c r="F7" i="21"/>
  <c r="G7" i="21" s="1"/>
  <c r="F6" i="21"/>
  <c r="G6" i="21" s="1"/>
  <c r="F5" i="21"/>
  <c r="G5" i="21" s="1"/>
  <c r="F4" i="21"/>
  <c r="G4" i="21" s="1"/>
  <c r="F2" i="21"/>
  <c r="G2" i="21" s="1"/>
  <c r="F39" i="20"/>
  <c r="G39" i="20" s="1"/>
  <c r="F37" i="20"/>
  <c r="G37" i="20" s="1"/>
  <c r="F36" i="20"/>
  <c r="G36" i="20" s="1"/>
  <c r="F35" i="20"/>
  <c r="G35" i="20" s="1"/>
  <c r="F34" i="20"/>
  <c r="G34" i="20" s="1"/>
  <c r="F33" i="20"/>
  <c r="G33" i="20" s="1"/>
  <c r="F32" i="20"/>
  <c r="G32" i="20" s="1"/>
  <c r="F30" i="20"/>
  <c r="G30" i="20" s="1"/>
  <c r="F28" i="20"/>
  <c r="G28" i="20" s="1"/>
  <c r="F27" i="20"/>
  <c r="G27" i="20" s="1"/>
  <c r="F26" i="20"/>
  <c r="G26" i="20" s="1"/>
  <c r="F25" i="20"/>
  <c r="G25" i="20" s="1"/>
  <c r="F23" i="20"/>
  <c r="G23" i="20" s="1"/>
  <c r="F22" i="20"/>
  <c r="G22" i="20" s="1"/>
  <c r="F21" i="20"/>
  <c r="G21" i="20" s="1"/>
  <c r="F20" i="20"/>
  <c r="G20" i="20" s="1"/>
  <c r="F19" i="20"/>
  <c r="G19" i="20" s="1"/>
  <c r="F18" i="20"/>
  <c r="G18" i="20" s="1"/>
  <c r="F15" i="20"/>
  <c r="G15" i="20" s="1"/>
  <c r="F14" i="20"/>
  <c r="G14" i="20" s="1"/>
  <c r="F11" i="20"/>
  <c r="G11" i="20" s="1"/>
  <c r="F10" i="20"/>
  <c r="G10" i="20" s="1"/>
  <c r="F8" i="20"/>
  <c r="G8" i="20" s="1"/>
  <c r="F7" i="20"/>
  <c r="G7" i="20" s="1"/>
  <c r="F6" i="20"/>
  <c r="G6" i="20" s="1"/>
  <c r="F5" i="20"/>
  <c r="G5" i="20" s="1"/>
  <c r="F4" i="20"/>
  <c r="G4" i="20" s="1"/>
  <c r="F2" i="20"/>
  <c r="G2" i="20" s="1"/>
  <c r="F39" i="19"/>
  <c r="G39" i="19" s="1"/>
  <c r="F37" i="19"/>
  <c r="G37" i="19" s="1"/>
  <c r="F36" i="19"/>
  <c r="G36" i="19" s="1"/>
  <c r="F35" i="19"/>
  <c r="G35" i="19" s="1"/>
  <c r="F34" i="19"/>
  <c r="G34" i="19" s="1"/>
  <c r="F33" i="19"/>
  <c r="G33" i="19" s="1"/>
  <c r="F32" i="19"/>
  <c r="G32" i="19" s="1"/>
  <c r="F30" i="19"/>
  <c r="G30" i="19" s="1"/>
  <c r="F28" i="19"/>
  <c r="G28" i="19" s="1"/>
  <c r="F27" i="19"/>
  <c r="G27" i="19" s="1"/>
  <c r="F26" i="19"/>
  <c r="G26" i="19" s="1"/>
  <c r="F25" i="19"/>
  <c r="G25" i="19" s="1"/>
  <c r="F23" i="19"/>
  <c r="G23" i="19" s="1"/>
  <c r="F22" i="19"/>
  <c r="G22" i="19" s="1"/>
  <c r="F21" i="19"/>
  <c r="G21" i="19" s="1"/>
  <c r="F20" i="19"/>
  <c r="G20" i="19" s="1"/>
  <c r="F19" i="19"/>
  <c r="G19" i="19" s="1"/>
  <c r="F18" i="19"/>
  <c r="G18" i="19" s="1"/>
  <c r="F15" i="19"/>
  <c r="G15" i="19" s="1"/>
  <c r="F14" i="19"/>
  <c r="G14" i="19" s="1"/>
  <c r="F11" i="19"/>
  <c r="G11" i="19" s="1"/>
  <c r="F10" i="19"/>
  <c r="G10" i="19" s="1"/>
  <c r="F8" i="19"/>
  <c r="G8" i="19" s="1"/>
  <c r="F7" i="19"/>
  <c r="G7" i="19" s="1"/>
  <c r="F6" i="19"/>
  <c r="G6" i="19" s="1"/>
  <c r="F5" i="19"/>
  <c r="G5" i="19" s="1"/>
  <c r="F4" i="19"/>
  <c r="G4" i="19" s="1"/>
  <c r="F2" i="19"/>
  <c r="G2" i="19" s="1"/>
  <c r="F39" i="18"/>
  <c r="G39" i="18" s="1"/>
  <c r="F37" i="18"/>
  <c r="G37" i="18" s="1"/>
  <c r="F36" i="18"/>
  <c r="G36" i="18" s="1"/>
  <c r="F35" i="18"/>
  <c r="G35" i="18" s="1"/>
  <c r="F34" i="18"/>
  <c r="G34" i="18" s="1"/>
  <c r="F33" i="18"/>
  <c r="G33" i="18" s="1"/>
  <c r="F32" i="18"/>
  <c r="G32" i="18" s="1"/>
  <c r="F30" i="18"/>
  <c r="G30" i="18" s="1"/>
  <c r="F28" i="18"/>
  <c r="G28" i="18" s="1"/>
  <c r="F27" i="18"/>
  <c r="G27" i="18" s="1"/>
  <c r="F26" i="18"/>
  <c r="G26" i="18" s="1"/>
  <c r="F25" i="18"/>
  <c r="G25" i="18" s="1"/>
  <c r="F23" i="18"/>
  <c r="G23" i="18" s="1"/>
  <c r="F22" i="18"/>
  <c r="G22" i="18" s="1"/>
  <c r="F21" i="18"/>
  <c r="G21" i="18" s="1"/>
  <c r="F20" i="18"/>
  <c r="G20" i="18" s="1"/>
  <c r="F19" i="18"/>
  <c r="G19" i="18" s="1"/>
  <c r="F18" i="18"/>
  <c r="G18" i="18" s="1"/>
  <c r="F15" i="18"/>
  <c r="G15" i="18" s="1"/>
  <c r="F14" i="18"/>
  <c r="G14" i="18" s="1"/>
  <c r="F11" i="18"/>
  <c r="G11" i="18" s="1"/>
  <c r="F10" i="18"/>
  <c r="G10" i="18" s="1"/>
  <c r="F8" i="18"/>
  <c r="G8" i="18" s="1"/>
  <c r="F7" i="18"/>
  <c r="G7" i="18" s="1"/>
  <c r="F6" i="18"/>
  <c r="G6" i="18" s="1"/>
  <c r="F5" i="18"/>
  <c r="G5" i="18" s="1"/>
  <c r="F4" i="18"/>
  <c r="G4" i="18" s="1"/>
  <c r="F2" i="18"/>
  <c r="G2" i="18" s="1"/>
  <c r="F39" i="17"/>
  <c r="G39" i="17" s="1"/>
  <c r="F37" i="17"/>
  <c r="G37" i="17" s="1"/>
  <c r="F36" i="17"/>
  <c r="G36" i="17" s="1"/>
  <c r="F35" i="17"/>
  <c r="G35" i="17" s="1"/>
  <c r="F34" i="17"/>
  <c r="G34" i="17" s="1"/>
  <c r="F33" i="17"/>
  <c r="G33" i="17" s="1"/>
  <c r="F32" i="17"/>
  <c r="G32" i="17" s="1"/>
  <c r="F30" i="17"/>
  <c r="G30" i="17" s="1"/>
  <c r="F28" i="17"/>
  <c r="G28" i="17" s="1"/>
  <c r="F27" i="17"/>
  <c r="G27" i="17" s="1"/>
  <c r="F26" i="17"/>
  <c r="G26" i="17" s="1"/>
  <c r="F25" i="17"/>
  <c r="G25" i="17" s="1"/>
  <c r="F23" i="17"/>
  <c r="G23" i="17" s="1"/>
  <c r="F22" i="17"/>
  <c r="G22" i="17" s="1"/>
  <c r="F21" i="17"/>
  <c r="G21" i="17" s="1"/>
  <c r="F20" i="17"/>
  <c r="G20" i="17" s="1"/>
  <c r="F19" i="17"/>
  <c r="G19" i="17" s="1"/>
  <c r="F18" i="17"/>
  <c r="G18" i="17" s="1"/>
  <c r="F15" i="17"/>
  <c r="G15" i="17" s="1"/>
  <c r="F14" i="17"/>
  <c r="G14" i="17" s="1"/>
  <c r="F11" i="17"/>
  <c r="G11" i="17" s="1"/>
  <c r="F10" i="17"/>
  <c r="G10" i="17" s="1"/>
  <c r="F8" i="17"/>
  <c r="G8" i="17" s="1"/>
  <c r="F7" i="17"/>
  <c r="G7" i="17" s="1"/>
  <c r="F6" i="17"/>
  <c r="G6" i="17" s="1"/>
  <c r="F5" i="17"/>
  <c r="G5" i="17" s="1"/>
  <c r="F4" i="17"/>
  <c r="G4" i="17" s="1"/>
  <c r="F2" i="17"/>
  <c r="G2" i="17" s="1"/>
  <c r="F39" i="16"/>
  <c r="G39" i="16" s="1"/>
  <c r="F37" i="16"/>
  <c r="G37" i="16" s="1"/>
  <c r="F36" i="16"/>
  <c r="G36" i="16" s="1"/>
  <c r="F35" i="16"/>
  <c r="G35" i="16" s="1"/>
  <c r="F34" i="16"/>
  <c r="G34" i="16" s="1"/>
  <c r="F33" i="16"/>
  <c r="G33" i="16" s="1"/>
  <c r="F32" i="16"/>
  <c r="G32" i="16" s="1"/>
  <c r="F30" i="16"/>
  <c r="G30" i="16" s="1"/>
  <c r="F28" i="16"/>
  <c r="G28" i="16" s="1"/>
  <c r="F27" i="16"/>
  <c r="G27" i="16" s="1"/>
  <c r="F26" i="16"/>
  <c r="G26" i="16" s="1"/>
  <c r="F25" i="16"/>
  <c r="G25" i="16" s="1"/>
  <c r="F23" i="16"/>
  <c r="G23" i="16" s="1"/>
  <c r="F22" i="16"/>
  <c r="G22" i="16" s="1"/>
  <c r="F21" i="16"/>
  <c r="G21" i="16" s="1"/>
  <c r="F20" i="16"/>
  <c r="G20" i="16" s="1"/>
  <c r="F19" i="16"/>
  <c r="G19" i="16" s="1"/>
  <c r="F18" i="16"/>
  <c r="G18" i="16" s="1"/>
  <c r="F15" i="16"/>
  <c r="G15" i="16" s="1"/>
  <c r="F14" i="16"/>
  <c r="G14" i="16" s="1"/>
  <c r="F11" i="16"/>
  <c r="G11" i="16" s="1"/>
  <c r="F10" i="16"/>
  <c r="G10" i="16" s="1"/>
  <c r="F8" i="16"/>
  <c r="G8" i="16" s="1"/>
  <c r="F7" i="16"/>
  <c r="G7" i="16" s="1"/>
  <c r="F6" i="16"/>
  <c r="G6" i="16" s="1"/>
  <c r="F5" i="16"/>
  <c r="G5" i="16" s="1"/>
  <c r="F4" i="16"/>
  <c r="G4" i="16" s="1"/>
  <c r="F2" i="16"/>
  <c r="G2" i="16" s="1"/>
  <c r="F39" i="15"/>
  <c r="G39" i="15" s="1"/>
  <c r="F37" i="15"/>
  <c r="G37" i="15" s="1"/>
  <c r="F36" i="15"/>
  <c r="G36" i="15" s="1"/>
  <c r="F35" i="15"/>
  <c r="G35" i="15" s="1"/>
  <c r="F34" i="15"/>
  <c r="G34" i="15" s="1"/>
  <c r="F33" i="15"/>
  <c r="G33" i="15" s="1"/>
  <c r="F32" i="15"/>
  <c r="G32" i="15" s="1"/>
  <c r="F30" i="15"/>
  <c r="G30" i="15" s="1"/>
  <c r="F28" i="15"/>
  <c r="G28" i="15" s="1"/>
  <c r="F27" i="15"/>
  <c r="G27" i="15" s="1"/>
  <c r="F26" i="15"/>
  <c r="G26" i="15" s="1"/>
  <c r="F25" i="15"/>
  <c r="G25" i="15" s="1"/>
  <c r="F23" i="15"/>
  <c r="G23" i="15" s="1"/>
  <c r="F22" i="15"/>
  <c r="G22" i="15" s="1"/>
  <c r="F21" i="15"/>
  <c r="G21" i="15" s="1"/>
  <c r="F20" i="15"/>
  <c r="G20" i="15" s="1"/>
  <c r="F19" i="15"/>
  <c r="G19" i="15" s="1"/>
  <c r="F18" i="15"/>
  <c r="G18" i="15" s="1"/>
  <c r="F15" i="15"/>
  <c r="G15" i="15" s="1"/>
  <c r="F14" i="15"/>
  <c r="G14" i="15" s="1"/>
  <c r="F11" i="15"/>
  <c r="G11" i="15" s="1"/>
  <c r="F10" i="15"/>
  <c r="G10" i="15" s="1"/>
  <c r="F8" i="15"/>
  <c r="G8" i="15" s="1"/>
  <c r="F7" i="15"/>
  <c r="G7" i="15" s="1"/>
  <c r="F6" i="15"/>
  <c r="G6" i="15" s="1"/>
  <c r="F5" i="15"/>
  <c r="G5" i="15" s="1"/>
  <c r="F4" i="15"/>
  <c r="G4" i="15" s="1"/>
  <c r="F2" i="15"/>
  <c r="G2" i="15" s="1"/>
  <c r="F39" i="14"/>
  <c r="G39" i="14" s="1"/>
  <c r="F37" i="14"/>
  <c r="G37" i="14" s="1"/>
  <c r="F36" i="14"/>
  <c r="G36" i="14" s="1"/>
  <c r="F35" i="14"/>
  <c r="G35" i="14" s="1"/>
  <c r="F34" i="14"/>
  <c r="G34" i="14" s="1"/>
  <c r="F33" i="14"/>
  <c r="G33" i="14" s="1"/>
  <c r="F32" i="14"/>
  <c r="G32" i="14" s="1"/>
  <c r="F30" i="14"/>
  <c r="G30" i="14" s="1"/>
  <c r="F28" i="14"/>
  <c r="G28" i="14" s="1"/>
  <c r="F27" i="14"/>
  <c r="G27" i="14" s="1"/>
  <c r="F26" i="14"/>
  <c r="G26" i="14" s="1"/>
  <c r="F25" i="14"/>
  <c r="G25" i="14" s="1"/>
  <c r="F23" i="14"/>
  <c r="G23" i="14" s="1"/>
  <c r="F22" i="14"/>
  <c r="G22" i="14" s="1"/>
  <c r="F21" i="14"/>
  <c r="G21" i="14" s="1"/>
  <c r="F20" i="14"/>
  <c r="G20" i="14" s="1"/>
  <c r="F19" i="14"/>
  <c r="G19" i="14" s="1"/>
  <c r="F18" i="14"/>
  <c r="G18" i="14" s="1"/>
  <c r="F15" i="14"/>
  <c r="G15" i="14" s="1"/>
  <c r="F14" i="14"/>
  <c r="G14" i="14" s="1"/>
  <c r="F11" i="14"/>
  <c r="G11" i="14" s="1"/>
  <c r="F10" i="14"/>
  <c r="G10" i="14" s="1"/>
  <c r="F8" i="14"/>
  <c r="G8" i="14" s="1"/>
  <c r="F7" i="14"/>
  <c r="G7" i="14" s="1"/>
  <c r="F6" i="14"/>
  <c r="G6" i="14" s="1"/>
  <c r="F5" i="14"/>
  <c r="G5" i="14" s="1"/>
  <c r="F4" i="14"/>
  <c r="G4" i="14" s="1"/>
  <c r="F2" i="14"/>
  <c r="G2" i="14" s="1"/>
  <c r="F39" i="13"/>
  <c r="G39" i="13" s="1"/>
  <c r="F37" i="13"/>
  <c r="G37" i="13" s="1"/>
  <c r="F36" i="13"/>
  <c r="G36" i="13" s="1"/>
  <c r="F35" i="13"/>
  <c r="G35" i="13" s="1"/>
  <c r="F34" i="13"/>
  <c r="G34" i="13" s="1"/>
  <c r="F33" i="13"/>
  <c r="G33" i="13" s="1"/>
  <c r="F32" i="13"/>
  <c r="G32" i="13" s="1"/>
  <c r="F30" i="13"/>
  <c r="G30" i="13" s="1"/>
  <c r="F28" i="13"/>
  <c r="G28" i="13" s="1"/>
  <c r="F27" i="13"/>
  <c r="G27" i="13" s="1"/>
  <c r="F26" i="13"/>
  <c r="G26" i="13" s="1"/>
  <c r="F25" i="13"/>
  <c r="G25" i="13" s="1"/>
  <c r="F23" i="13"/>
  <c r="G23" i="13" s="1"/>
  <c r="F22" i="13"/>
  <c r="G22" i="13" s="1"/>
  <c r="F21" i="13"/>
  <c r="G21" i="13" s="1"/>
  <c r="F20" i="13"/>
  <c r="G20" i="13" s="1"/>
  <c r="F19" i="13"/>
  <c r="G19" i="13" s="1"/>
  <c r="F18" i="13"/>
  <c r="G18" i="13" s="1"/>
  <c r="F15" i="13"/>
  <c r="G15" i="13" s="1"/>
  <c r="F14" i="13"/>
  <c r="G14" i="13" s="1"/>
  <c r="F11" i="13"/>
  <c r="G11" i="13" s="1"/>
  <c r="F10" i="13"/>
  <c r="G10" i="13" s="1"/>
  <c r="F8" i="13"/>
  <c r="G8" i="13" s="1"/>
  <c r="F7" i="13"/>
  <c r="G7" i="13" s="1"/>
  <c r="F6" i="13"/>
  <c r="G6" i="13" s="1"/>
  <c r="F5" i="13"/>
  <c r="G5" i="13" s="1"/>
  <c r="F4" i="13"/>
  <c r="G4" i="13" s="1"/>
  <c r="F2" i="13"/>
  <c r="G2" i="13" s="1"/>
  <c r="F39" i="12"/>
  <c r="G39" i="12" s="1"/>
  <c r="F37" i="12"/>
  <c r="G37" i="12" s="1"/>
  <c r="F36" i="12"/>
  <c r="G36" i="12" s="1"/>
  <c r="F35" i="12"/>
  <c r="G35" i="12" s="1"/>
  <c r="F34" i="12"/>
  <c r="G34" i="12" s="1"/>
  <c r="F33" i="12"/>
  <c r="G33" i="12" s="1"/>
  <c r="F32" i="12"/>
  <c r="G32" i="12" s="1"/>
  <c r="F30" i="12"/>
  <c r="G30" i="12" s="1"/>
  <c r="F28" i="12"/>
  <c r="G28" i="12" s="1"/>
  <c r="F27" i="12"/>
  <c r="G27" i="12" s="1"/>
  <c r="F26" i="12"/>
  <c r="G26" i="12" s="1"/>
  <c r="F25" i="12"/>
  <c r="G25" i="12" s="1"/>
  <c r="F23" i="12"/>
  <c r="G23" i="12" s="1"/>
  <c r="F22" i="12"/>
  <c r="G22" i="12" s="1"/>
  <c r="F21" i="12"/>
  <c r="G21" i="12" s="1"/>
  <c r="F20" i="12"/>
  <c r="G20" i="12" s="1"/>
  <c r="F19" i="12"/>
  <c r="G19" i="12" s="1"/>
  <c r="F18" i="12"/>
  <c r="G18" i="12" s="1"/>
  <c r="F15" i="12"/>
  <c r="G15" i="12" s="1"/>
  <c r="F14" i="12"/>
  <c r="G14" i="12" s="1"/>
  <c r="F11" i="12"/>
  <c r="G11" i="12" s="1"/>
  <c r="F10" i="12"/>
  <c r="G10" i="12" s="1"/>
  <c r="F8" i="12"/>
  <c r="G8" i="12" s="1"/>
  <c r="F7" i="12"/>
  <c r="G7" i="12" s="1"/>
  <c r="F6" i="12"/>
  <c r="G6" i="12" s="1"/>
  <c r="F5" i="12"/>
  <c r="G5" i="12" s="1"/>
  <c r="F4" i="12"/>
  <c r="G4" i="12" s="1"/>
  <c r="F2" i="12"/>
  <c r="G2" i="12" s="1"/>
  <c r="F39" i="11"/>
  <c r="G39" i="11" s="1"/>
  <c r="F37" i="11"/>
  <c r="G37" i="11" s="1"/>
  <c r="F36" i="11"/>
  <c r="G36" i="11" s="1"/>
  <c r="F35" i="11"/>
  <c r="G35" i="11" s="1"/>
  <c r="F34" i="11"/>
  <c r="G34" i="11" s="1"/>
  <c r="F33" i="11"/>
  <c r="G33" i="11" s="1"/>
  <c r="F32" i="11"/>
  <c r="G32" i="11" s="1"/>
  <c r="F30" i="11"/>
  <c r="G30" i="11" s="1"/>
  <c r="F28" i="11"/>
  <c r="G28" i="11" s="1"/>
  <c r="F27" i="11"/>
  <c r="G27" i="11" s="1"/>
  <c r="F26" i="11"/>
  <c r="G26" i="11" s="1"/>
  <c r="F25" i="11"/>
  <c r="G25" i="11" s="1"/>
  <c r="F23" i="11"/>
  <c r="G23" i="11" s="1"/>
  <c r="F22" i="11"/>
  <c r="G22" i="11" s="1"/>
  <c r="F21" i="11"/>
  <c r="G21" i="11" s="1"/>
  <c r="F20" i="11"/>
  <c r="G20" i="11" s="1"/>
  <c r="F19" i="11"/>
  <c r="G19" i="11" s="1"/>
  <c r="F18" i="11"/>
  <c r="G18" i="11" s="1"/>
  <c r="F15" i="11"/>
  <c r="G15" i="11" s="1"/>
  <c r="F14" i="11"/>
  <c r="G14" i="11" s="1"/>
  <c r="F11" i="11"/>
  <c r="G11" i="11" s="1"/>
  <c r="F10" i="11"/>
  <c r="G10" i="11" s="1"/>
  <c r="F8" i="11"/>
  <c r="G8" i="11" s="1"/>
  <c r="F7" i="11"/>
  <c r="G7" i="11" s="1"/>
  <c r="F6" i="11"/>
  <c r="G6" i="11" s="1"/>
  <c r="F5" i="11"/>
  <c r="G5" i="11" s="1"/>
  <c r="F4" i="11"/>
  <c r="G4" i="11" s="1"/>
  <c r="F2" i="11"/>
  <c r="G2" i="11" s="1"/>
  <c r="F39" i="10"/>
  <c r="G39" i="10" s="1"/>
  <c r="F37" i="10"/>
  <c r="G37" i="10" s="1"/>
  <c r="F36" i="10"/>
  <c r="G36" i="10" s="1"/>
  <c r="F35" i="10"/>
  <c r="G35" i="10" s="1"/>
  <c r="F34" i="10"/>
  <c r="G34" i="10" s="1"/>
  <c r="F33" i="10"/>
  <c r="G33" i="10" s="1"/>
  <c r="F32" i="10"/>
  <c r="G32" i="10" s="1"/>
  <c r="F30" i="10"/>
  <c r="G30" i="10" s="1"/>
  <c r="F28" i="10"/>
  <c r="G28" i="10" s="1"/>
  <c r="F27" i="10"/>
  <c r="G27" i="10" s="1"/>
  <c r="F26" i="10"/>
  <c r="G26" i="10" s="1"/>
  <c r="F25" i="10"/>
  <c r="G25" i="10" s="1"/>
  <c r="F23" i="10"/>
  <c r="G23" i="10" s="1"/>
  <c r="F22" i="10"/>
  <c r="G22" i="10" s="1"/>
  <c r="F21" i="10"/>
  <c r="G21" i="10" s="1"/>
  <c r="F20" i="10"/>
  <c r="G20" i="10" s="1"/>
  <c r="F19" i="10"/>
  <c r="G19" i="10" s="1"/>
  <c r="F18" i="10"/>
  <c r="G18" i="10" s="1"/>
  <c r="F15" i="10"/>
  <c r="G15" i="10" s="1"/>
  <c r="F14" i="10"/>
  <c r="G14" i="10" s="1"/>
  <c r="F11" i="10"/>
  <c r="G11" i="10" s="1"/>
  <c r="F10" i="10"/>
  <c r="G10" i="10" s="1"/>
  <c r="F8" i="10"/>
  <c r="G8" i="10" s="1"/>
  <c r="F7" i="10"/>
  <c r="G7" i="10" s="1"/>
  <c r="F6" i="10"/>
  <c r="G6" i="10" s="1"/>
  <c r="F5" i="10"/>
  <c r="G5" i="10" s="1"/>
  <c r="F4" i="10"/>
  <c r="G4" i="10" s="1"/>
  <c r="F2" i="10"/>
  <c r="G2" i="10" s="1"/>
  <c r="F39" i="9"/>
  <c r="G39" i="9" s="1"/>
  <c r="F37" i="9"/>
  <c r="G37" i="9" s="1"/>
  <c r="F36" i="9"/>
  <c r="G36" i="9" s="1"/>
  <c r="F35" i="9"/>
  <c r="G35" i="9" s="1"/>
  <c r="F34" i="9"/>
  <c r="G34" i="9" s="1"/>
  <c r="F33" i="9"/>
  <c r="G33" i="9" s="1"/>
  <c r="F32" i="9"/>
  <c r="G32" i="9" s="1"/>
  <c r="F30" i="9"/>
  <c r="G30" i="9" s="1"/>
  <c r="F28" i="9"/>
  <c r="G28" i="9" s="1"/>
  <c r="F27" i="9"/>
  <c r="G27" i="9" s="1"/>
  <c r="F26" i="9"/>
  <c r="G26" i="9" s="1"/>
  <c r="F25" i="9"/>
  <c r="G25" i="9" s="1"/>
  <c r="F23" i="9"/>
  <c r="G23" i="9" s="1"/>
  <c r="F22" i="9"/>
  <c r="G22" i="9" s="1"/>
  <c r="F21" i="9"/>
  <c r="G21" i="9" s="1"/>
  <c r="F20" i="9"/>
  <c r="G20" i="9" s="1"/>
  <c r="F19" i="9"/>
  <c r="G19" i="9" s="1"/>
  <c r="F18" i="9"/>
  <c r="G18" i="9" s="1"/>
  <c r="F15" i="9"/>
  <c r="G15" i="9" s="1"/>
  <c r="F14" i="9"/>
  <c r="G14" i="9" s="1"/>
  <c r="F11" i="9"/>
  <c r="G11" i="9" s="1"/>
  <c r="F10" i="9"/>
  <c r="G10" i="9" s="1"/>
  <c r="F8" i="9"/>
  <c r="G8" i="9" s="1"/>
  <c r="F7" i="9"/>
  <c r="G7" i="9" s="1"/>
  <c r="F6" i="9"/>
  <c r="G6" i="9" s="1"/>
  <c r="F5" i="9"/>
  <c r="G5" i="9" s="1"/>
  <c r="F4" i="9"/>
  <c r="G4" i="9" s="1"/>
  <c r="F2" i="9"/>
  <c r="G2" i="9" s="1"/>
  <c r="F39" i="8"/>
  <c r="G39" i="8" s="1"/>
  <c r="F37" i="8"/>
  <c r="G37" i="8" s="1"/>
  <c r="F36" i="8"/>
  <c r="G36" i="8" s="1"/>
  <c r="F35" i="8"/>
  <c r="G35" i="8" s="1"/>
  <c r="F34" i="8"/>
  <c r="G34" i="8" s="1"/>
  <c r="F33" i="8"/>
  <c r="G33" i="8" s="1"/>
  <c r="F32" i="8"/>
  <c r="G32" i="8" s="1"/>
  <c r="F30" i="8"/>
  <c r="G30" i="8" s="1"/>
  <c r="F28" i="8"/>
  <c r="G28" i="8" s="1"/>
  <c r="F27" i="8"/>
  <c r="G27" i="8" s="1"/>
  <c r="F26" i="8"/>
  <c r="G26" i="8" s="1"/>
  <c r="F25" i="8"/>
  <c r="G25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5" i="8"/>
  <c r="G15" i="8" s="1"/>
  <c r="F14" i="8"/>
  <c r="G14" i="8" s="1"/>
  <c r="F11" i="8"/>
  <c r="G11" i="8" s="1"/>
  <c r="F10" i="8"/>
  <c r="G10" i="8" s="1"/>
  <c r="F8" i="8"/>
  <c r="G8" i="8" s="1"/>
  <c r="F7" i="8"/>
  <c r="G7" i="8" s="1"/>
  <c r="F6" i="8"/>
  <c r="G6" i="8" s="1"/>
  <c r="F5" i="8"/>
  <c r="G5" i="8" s="1"/>
  <c r="F4" i="8"/>
  <c r="G4" i="8" s="1"/>
  <c r="F2" i="8"/>
  <c r="G2" i="8" s="1"/>
  <c r="F39" i="7"/>
  <c r="G39" i="7" s="1"/>
  <c r="F37" i="7"/>
  <c r="G37" i="7" s="1"/>
  <c r="F36" i="7"/>
  <c r="G36" i="7" s="1"/>
  <c r="F35" i="7"/>
  <c r="G35" i="7" s="1"/>
  <c r="F34" i="7"/>
  <c r="G34" i="7" s="1"/>
  <c r="F33" i="7"/>
  <c r="G33" i="7" s="1"/>
  <c r="F32" i="7"/>
  <c r="G32" i="7" s="1"/>
  <c r="F30" i="7"/>
  <c r="G30" i="7" s="1"/>
  <c r="F28" i="7"/>
  <c r="G28" i="7" s="1"/>
  <c r="F27" i="7"/>
  <c r="G27" i="7" s="1"/>
  <c r="F26" i="7"/>
  <c r="G26" i="7" s="1"/>
  <c r="F25" i="7"/>
  <c r="G25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5" i="7"/>
  <c r="G15" i="7" s="1"/>
  <c r="F14" i="7"/>
  <c r="G14" i="7" s="1"/>
  <c r="F11" i="7"/>
  <c r="G11" i="7" s="1"/>
  <c r="F10" i="7"/>
  <c r="G10" i="7" s="1"/>
  <c r="F8" i="7"/>
  <c r="G8" i="7" s="1"/>
  <c r="F7" i="7"/>
  <c r="G7" i="7" s="1"/>
  <c r="F6" i="7"/>
  <c r="G6" i="7" s="1"/>
  <c r="F5" i="7"/>
  <c r="G5" i="7" s="1"/>
  <c r="F4" i="7"/>
  <c r="G4" i="7" s="1"/>
  <c r="F2" i="7"/>
  <c r="G2" i="7" s="1"/>
  <c r="J1" i="18" l="1"/>
  <c r="J1" i="7"/>
  <c r="J1" i="13"/>
  <c r="J1" i="8"/>
  <c r="J1" i="35"/>
  <c r="J1" i="36"/>
  <c r="J1" i="34"/>
  <c r="J1" i="33"/>
  <c r="J1" i="32"/>
  <c r="J1" i="31"/>
  <c r="J1" i="30"/>
  <c r="J1" i="29"/>
  <c r="J1" i="28"/>
  <c r="J1" i="27"/>
  <c r="J1" i="26"/>
  <c r="J1" i="25"/>
  <c r="J1" i="24"/>
  <c r="J1" i="23"/>
  <c r="J1" i="22"/>
  <c r="J1" i="21"/>
  <c r="J1" i="20"/>
  <c r="J1" i="19"/>
  <c r="J1" i="17"/>
  <c r="J1" i="16"/>
  <c r="J1" i="15"/>
  <c r="J1" i="14"/>
  <c r="J1" i="12"/>
  <c r="J1" i="11"/>
  <c r="J1" i="10"/>
  <c r="J1" i="9"/>
  <c r="F2" i="6"/>
  <c r="G2" i="6" s="1"/>
  <c r="F4" i="6"/>
  <c r="G4" i="6" s="1"/>
  <c r="F5" i="6"/>
  <c r="G5" i="6" s="1"/>
  <c r="F6" i="6"/>
  <c r="G6" i="6" s="1"/>
  <c r="F7" i="6"/>
  <c r="F8" i="6"/>
  <c r="G8" i="6" s="1"/>
  <c r="F10" i="6"/>
  <c r="G10" i="6" s="1"/>
  <c r="F11" i="6"/>
  <c r="G11" i="6" s="1"/>
  <c r="F14" i="6"/>
  <c r="G14" i="6" s="1"/>
  <c r="F15" i="6"/>
  <c r="G15" i="6" s="1"/>
  <c r="F18" i="6"/>
  <c r="G18" i="6" s="1"/>
  <c r="F19" i="6"/>
  <c r="G19" i="6" s="1"/>
  <c r="F20" i="6"/>
  <c r="G20" i="6" s="1"/>
  <c r="F21" i="6"/>
  <c r="G21" i="6" s="1"/>
  <c r="F22" i="6"/>
  <c r="G22" i="6" s="1"/>
  <c r="F23" i="6"/>
  <c r="G23" i="6" s="1"/>
  <c r="F25" i="6"/>
  <c r="G25" i="6" s="1"/>
  <c r="F26" i="6"/>
  <c r="G26" i="6" s="1"/>
  <c r="F27" i="6"/>
  <c r="G27" i="6" s="1"/>
  <c r="F28" i="6"/>
  <c r="G28" i="6" s="1"/>
  <c r="F30" i="6"/>
  <c r="G30" i="6" s="1"/>
  <c r="F32" i="6"/>
  <c r="G32" i="6" s="1"/>
  <c r="F33" i="6"/>
  <c r="G33" i="6" s="1"/>
  <c r="F34" i="6"/>
  <c r="G34" i="6" s="1"/>
  <c r="F35" i="6"/>
  <c r="G35" i="6" s="1"/>
  <c r="F36" i="6"/>
  <c r="G36" i="6" s="1"/>
  <c r="F37" i="6"/>
  <c r="G37" i="6" s="1"/>
  <c r="F39" i="6"/>
  <c r="G39" i="6" s="1"/>
  <c r="G7" i="6"/>
  <c r="J1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Clientes.xlsm!Inventario" type="102" refreshedVersion="6" minRefreshableVersion="5">
    <extLst>
      <ext xmlns:x15="http://schemas.microsoft.com/office/spreadsheetml/2010/11/main" uri="{DE250136-89BD-433C-8126-D09CA5730AF9}">
        <x15:connection id="Inventario">
          <x15:rangePr sourceName="_xlcn.WorksheetConnection_Clientes.xlsmInventario1"/>
        </x15:connection>
      </ext>
    </extLst>
  </connection>
  <connection id="3" xr16:uid="{00000000-0015-0000-FFFF-FFFF02000000}" name="WorksheetConnection_Clientes.xlsm!Inventario12" type="102" refreshedVersion="6" minRefreshableVersion="5">
    <extLst>
      <ext xmlns:x15="http://schemas.microsoft.com/office/spreadsheetml/2010/11/main" uri="{DE250136-89BD-433C-8126-D09CA5730AF9}">
        <x15:connection id="Inventario12">
          <x15:rangePr sourceName="_xlcn.WorksheetConnection_Clientes.xlsmInventario121"/>
        </x15:connection>
      </ext>
    </extLst>
  </connection>
</connections>
</file>

<file path=xl/sharedStrings.xml><?xml version="1.0" encoding="utf-8"?>
<sst xmlns="http://schemas.openxmlformats.org/spreadsheetml/2006/main" count="2025" uniqueCount="49">
  <si>
    <t>Producto</t>
  </si>
  <si>
    <t>Precio</t>
  </si>
  <si>
    <t>Codigo</t>
  </si>
  <si>
    <t>Existencia</t>
  </si>
  <si>
    <t>Cantidad de unidades por bulto</t>
  </si>
  <si>
    <t>Precio por bulto ($)</t>
  </si>
  <si>
    <t>Aceite Concordia</t>
  </si>
  <si>
    <t>Importe</t>
  </si>
  <si>
    <t>Importe Total:</t>
  </si>
  <si>
    <t>Arroz Tipo 1 Blue Vale (30x1kg)</t>
  </si>
  <si>
    <t>Arroz Tipo 1 Faccio (30x1kg)</t>
  </si>
  <si>
    <t>Arroz Tipo 1 Fazenda (30x1kg)</t>
  </si>
  <si>
    <t>Arroz Tipo 1 Tio Ivo (30x1kg)</t>
  </si>
  <si>
    <t>Azucar Doce Dia (30x1kg)</t>
  </si>
  <si>
    <t>Cafe Marata (20x250g)</t>
  </si>
  <si>
    <t>Calabresa Carré (1x2,5kg)</t>
  </si>
  <si>
    <t>Colgate (12x180g)</t>
  </si>
  <si>
    <t>Colgate (12x90g)</t>
  </si>
  <si>
    <t>Detergente en Polvo Ben-Te-Vi (26x500g)</t>
  </si>
  <si>
    <t>Fructus (8x15 sobres)</t>
  </si>
  <si>
    <t>Garoto (30x300g)</t>
  </si>
  <si>
    <t>Harina de Trigo Dona Maria (10x1kg)</t>
  </si>
  <si>
    <t>Harina de Trigo Dona Maria Panadera (50kg)</t>
  </si>
  <si>
    <t>Jabon Flamengo (10x1kg)</t>
  </si>
  <si>
    <t>Jabon Palmolive (12x85g)</t>
  </si>
  <si>
    <t>Leche en Polvo Do Bom (25x400g)</t>
  </si>
  <si>
    <t>Levadura Mauri (20x500g)</t>
  </si>
  <si>
    <t>Mantequilla Deline (24x250g)</t>
  </si>
  <si>
    <t>Mantequilla Primor (24x250g)</t>
  </si>
  <si>
    <t>Mortadela de Carne Carré (1x3kg)</t>
  </si>
  <si>
    <t>Mortadela de Pollo Aurora (1x2,5)</t>
  </si>
  <si>
    <t>Mortadela de Pollo Carré (1x3kg)</t>
  </si>
  <si>
    <t>Mortadela de Pollo Millennium (10x500g)</t>
  </si>
  <si>
    <t>Sal (30x1kg)</t>
  </si>
  <si>
    <t>Salchicha Hot Dog Perdigao (1x5kg)</t>
  </si>
  <si>
    <t>Sardina Marbonita (24x170g)</t>
  </si>
  <si>
    <t>Inicial</t>
  </si>
  <si>
    <t>Jabon Jamary</t>
  </si>
  <si>
    <t>Aceite Soya (20x900ml)</t>
  </si>
  <si>
    <t>Azucar Itajá (30x1kg)</t>
  </si>
  <si>
    <t>Mayonesa Quero (24x200g)</t>
  </si>
  <si>
    <t>(20/02/20 devolvio 8)</t>
  </si>
  <si>
    <t>Cigarros Zen (10x20 unidades)</t>
  </si>
  <si>
    <t>Mantequilla Medalha De Ouro (1x15kg)</t>
  </si>
  <si>
    <t>Corote Limon (12x500ml)</t>
  </si>
  <si>
    <t>Corote Blueberry (12x500ml)</t>
  </si>
  <si>
    <t>Calabresa Seara (1x2.5kg)</t>
  </si>
  <si>
    <t>Salchichas Hot Dog Rezende (1x5kg)</t>
  </si>
  <si>
    <t>Shampoo Sin Sal Palmolive Neutro (6x350ml)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</si>
</sst>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-[$$-409]* #,##0.00_ ;_-[$$-409]* \-#,##0.00\ ;_-[$$-409]* &quot;-&quot;??_ ;_-@_ "/>
    <numFmt numFmtId="165" formatCode="_-[$$-409]* #,##0.000_ ;_-[$$-409]* \-#,##0.000\ ;_-[$$-409]* &quot;-&quot;??_ ;_-@_ "/>
    <numFmt numFmtId="166" formatCode="_-[$$]\ * #,##0.00_-;[$$]\ * \-#,##0.00_-;_-[$$]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164" fontId="0" fillId="0" borderId="0" xfId="1" applyNumberFormat="1" applyFont="1"/>
    <xf numFmtId="165" fontId="0" fillId="0" borderId="0" xfId="1" applyNumberFormat="1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1" applyNumberFormat="1" applyFont="1" applyFill="1" applyBorder="1" applyAlignment="1">
      <alignment horizontal="left" vertical="center"/>
    </xf>
    <xf numFmtId="0" fontId="2" fillId="2" borderId="0" xfId="0" applyFont="1" applyFill="1" applyAlignment="1">
      <alignment horizontal="right" vertical="center"/>
    </xf>
    <xf numFmtId="2" fontId="2" fillId="2" borderId="0" xfId="0" applyNumberFormat="1" applyFont="1" applyFill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6" fontId="0" fillId="0" borderId="0" xfId="1" applyNumberFormat="1" applyFont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1" fontId="2" fillId="2" borderId="0" xfId="0" applyNumberFormat="1" applyFont="1" applyFill="1" applyAlignment="1">
      <alignment horizontal="right" vertical="center"/>
    </xf>
    <xf numFmtId="1" fontId="0" fillId="0" borderId="0" xfId="0" applyNumberFormat="1" applyAlignment="1">
      <alignment horizontal="right" vertical="center"/>
    </xf>
  </cellXfs>
  <cellStyles count="2">
    <cellStyle name="Currency" xfId="1" builtinId="4"/>
    <cellStyle name="Normal" xfId="0" builtinId="0"/>
  </cellStyles>
  <dxfs count="387"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vertical="center" textRotation="0" wrapText="0" indent="0" justifyLastLine="0" shrinkToFit="0" readingOrder="0"/>
    </dxf>
    <dxf>
      <numFmt numFmtId="165" formatCode="_-[$$-409]* #,##0.000_ ;_-[$$-409]* \-#,##0.000\ ;_-[$$-409]* &quot;-&quot;??_ ;_-@_ "/>
      <alignment horizontal="right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9D31FB1-403D-4B61-817E-26F5F13910E8}" name="Inventario44" displayName="Inventario44" ref="A1:G40" totalsRowShown="0" headerRowDxfId="386" dataDxfId="385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30D17C3E-9894-4DF9-8AE6-3E1C23546CDF}" name="Codigo" dataDxfId="384"/>
    <tableColumn id="2" xr3:uid="{80DEB8CF-CEDA-4D9F-820F-C8DE63B37E3E}" name="Producto" dataDxfId="383"/>
    <tableColumn id="3" xr3:uid="{3554D646-A632-4FFF-8E91-A35797FA1838}" name="Existencia" dataDxfId="382"/>
    <tableColumn id="5" xr3:uid="{25F224BF-0C62-44F4-8E99-2BC03D4462F5}" name="Cantidad de unidades por bulto" dataDxfId="381"/>
    <tableColumn id="7" xr3:uid="{C504EBE1-B7CD-449A-BFF2-60F103B326F9}" name="Precio por bulto ($)" dataDxfId="380"/>
    <tableColumn id="14" xr3:uid="{4BDF9FCA-D47B-4D39-B924-ABD6156E8C84}" name="Precio" dataDxfId="379">
      <calculatedColumnFormula>IF(Inventario44[[#This Row],[Cantidad de unidades por bulto]]=0, 0, Inventario44[[#This Row],[Precio por bulto ($)]]/Inventario44[[#This Row],[Cantidad de unidades por bulto]])</calculatedColumnFormula>
    </tableColumn>
    <tableColumn id="4" xr3:uid="{9D24EF42-1089-4D06-A4D8-AD2786ACDA21}" name="Importe" dataDxfId="378">
      <calculatedColumnFormula>Inventario44[[#This Row],[Precio]]*Inventario44[[#This Row],[Existencia]]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E2A92EB-F7CD-4430-AACD-4030B3367D01}" name="Inventario43" displayName="Inventario43" ref="A1:G40" totalsRowShown="0" headerRowDxfId="377" dataDxfId="376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F1C22C49-EC46-4A39-85F7-170E9F77CDE2}" name="Codigo" dataDxfId="375"/>
    <tableColumn id="2" xr3:uid="{55915AF1-4E0E-4173-9691-F32ABBF5F6B5}" name="Producto" dataDxfId="374"/>
    <tableColumn id="3" xr3:uid="{E369651B-97F7-4A26-A361-9B22F7FDE791}" name="Existencia" dataDxfId="373"/>
    <tableColumn id="5" xr3:uid="{709CF89C-9C2E-4EF6-93FA-28AB2720429E}" name="Cantidad de unidades por bulto" dataDxfId="372"/>
    <tableColumn id="7" xr3:uid="{3BCB4300-CE5F-498A-8669-62567FEBC4AC}" name="Precio por bulto ($)" dataDxfId="371"/>
    <tableColumn id="14" xr3:uid="{C47CD8B2-CA3F-4BB0-AEB0-CA7D9C254F96}" name="Precio" dataDxfId="370">
      <calculatedColumnFormula>IF(Inventario43[[#This Row],[Cantidad de unidades por bulto]]=0, 0, Inventario43[[#This Row],[Precio por bulto ($)]]/Inventario43[[#This Row],[Cantidad de unidades por bulto]])</calculatedColumnFormula>
    </tableColumn>
    <tableColumn id="4" xr3:uid="{293086C6-D824-4946-A333-CF259EF085CC}" name="Importe" dataDxfId="369">
      <calculatedColumnFormula>Inventario43[[#This Row],[Precio]]*Inventario43[[#This Row],[Existencia]]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C87C29A5-B228-4DC2-B03F-33D704F91808}" name="Inventario42" displayName="Inventario42" ref="A1:G40" totalsRowShown="0" headerRowDxfId="368" dataDxfId="367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AC84B6AD-8F22-47AA-975B-7BFB5E868E75}" name="Codigo" dataDxfId="366"/>
    <tableColumn id="2" xr3:uid="{B2B7E246-D819-4E35-BF47-48AB2FFAB64D}" name="Producto" dataDxfId="365"/>
    <tableColumn id="3" xr3:uid="{C74729C8-9040-44AB-A855-56A720BBAE9F}" name="Existencia" dataDxfId="364"/>
    <tableColumn id="5" xr3:uid="{EB879080-37E9-4B59-B298-27D058C9EFDD}" name="Cantidad de unidades por bulto" dataDxfId="363"/>
    <tableColumn id="7" xr3:uid="{D041B7B6-D98F-4B51-9DFC-139F6D9A01FF}" name="Precio por bulto ($)" dataDxfId="362"/>
    <tableColumn id="14" xr3:uid="{2DE94CD0-A07A-4E32-9E24-C4756B0BD12C}" name="Precio" dataDxfId="361">
      <calculatedColumnFormula>IF(Inventario42[[#This Row],[Cantidad de unidades por bulto]]=0, 0, Inventario42[[#This Row],[Precio por bulto ($)]]/Inventario42[[#This Row],[Cantidad de unidades por bulto]])</calculatedColumnFormula>
    </tableColumn>
    <tableColumn id="4" xr3:uid="{47ADBB23-1349-4987-88F3-1FB1639B8A0B}" name="Importe" dataDxfId="360">
      <calculatedColumnFormula>Inventario42[[#This Row],[Precio]]*Inventario42[[#This Row],[Existencia]]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2D5BB670-4D21-4261-BA15-E6F307A72FA3}" name="Inventario41" displayName="Inventario41" ref="A1:G40" totalsRowShown="0" headerRowDxfId="359" dataDxfId="358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EDB6A60D-22E9-458A-99D2-AF08222DE545}" name="Codigo" dataDxfId="357"/>
    <tableColumn id="2" xr3:uid="{6C2FD711-D3F2-41B7-9883-AB289D27ABC4}" name="Producto" dataDxfId="356"/>
    <tableColumn id="3" xr3:uid="{F997DD9C-66BB-45E7-A1A6-581BBBC8E6F8}" name="Existencia" dataDxfId="355"/>
    <tableColumn id="5" xr3:uid="{7996CC68-361B-4D84-A216-F75D5BD2415B}" name="Cantidad de unidades por bulto" dataDxfId="354"/>
    <tableColumn id="7" xr3:uid="{B97F3075-64D6-4F1C-B858-ADC28F98285C}" name="Precio por bulto ($)" dataDxfId="353"/>
    <tableColumn id="14" xr3:uid="{B0C06B34-57C9-4DCE-8122-09E7A50FB214}" name="Precio" dataDxfId="352">
      <calculatedColumnFormula>IF(Inventario41[[#This Row],[Cantidad de unidades por bulto]]=0, 0, Inventario41[[#This Row],[Precio por bulto ($)]]/Inventario41[[#This Row],[Cantidad de unidades por bulto]])</calculatedColumnFormula>
    </tableColumn>
    <tableColumn id="4" xr3:uid="{44C17D5B-2B38-480F-AC14-270E53C5E40E}" name="Importe" dataDxfId="351">
      <calculatedColumnFormula>Inventario41[[#This Row],[Precio]]*Inventario41[[#This Row],[Existencia]]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1943C6B-F928-4935-94DC-DCCFF85D225E}" name="Inventario40" displayName="Inventario40" ref="A1:G40" totalsRowShown="0" headerRowDxfId="350" dataDxfId="349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560C82A8-E4C0-4E9F-B9B0-4E62CFEB1A45}" name="Codigo" dataDxfId="348"/>
    <tableColumn id="2" xr3:uid="{625D6925-5E9A-4150-99A9-EAF31D159021}" name="Producto" dataDxfId="347"/>
    <tableColumn id="3" xr3:uid="{92037C95-E9AA-4B7E-824D-C1D5EF9BA0D4}" name="Existencia" dataDxfId="346"/>
    <tableColumn id="5" xr3:uid="{7513B2B6-6121-4F72-8A9C-D635D3678048}" name="Cantidad de unidades por bulto" dataDxfId="345"/>
    <tableColumn id="7" xr3:uid="{4DAE9449-4274-466E-B902-E8C43D6E249A}" name="Precio por bulto ($)" dataDxfId="344"/>
    <tableColumn id="14" xr3:uid="{7E56BD22-6C2F-40A4-9658-48C207161329}" name="Precio" dataDxfId="343">
      <calculatedColumnFormula>IF(Inventario40[[#This Row],[Cantidad de unidades por bulto]]=0, 0, Inventario40[[#This Row],[Precio por bulto ($)]]/Inventario40[[#This Row],[Cantidad de unidades por bulto]])</calculatedColumnFormula>
    </tableColumn>
    <tableColumn id="4" xr3:uid="{EC060592-4FDD-4C63-AC32-55D3B1378437}" name="Importe" dataDxfId="342">
      <calculatedColumnFormula>Inventario40[[#This Row],[Precio]]*Inventario40[[#This Row],[Existencia]]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F83485E-022A-4ADD-A289-2E97879866D4}" name="Inventario39" displayName="Inventario39" ref="A1:G40" totalsRowShown="0" headerRowDxfId="341" dataDxfId="340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688188D6-DAD6-4E10-98FA-88CB4A8290C5}" name="Codigo" dataDxfId="339"/>
    <tableColumn id="2" xr3:uid="{C44601DA-1175-4F55-A6A3-135D85E6812F}" name="Producto" dataDxfId="338"/>
    <tableColumn id="3" xr3:uid="{A386866B-8118-4AC9-BE72-0E2B3E2FD9DD}" name="Existencia" dataDxfId="337"/>
    <tableColumn id="5" xr3:uid="{67C81203-9A1C-4C64-AE9D-7D0118D33D87}" name="Cantidad de unidades por bulto" dataDxfId="336"/>
    <tableColumn id="7" xr3:uid="{8F93F9BF-2658-4615-BCF0-DAD0E7AEC800}" name="Precio por bulto ($)" dataDxfId="335"/>
    <tableColumn id="14" xr3:uid="{18A838FD-BF0C-40FD-BC99-8E216512D9F0}" name="Precio" dataDxfId="334">
      <calculatedColumnFormula>IF(Inventario39[[#This Row],[Cantidad de unidades por bulto]]=0, 0, Inventario39[[#This Row],[Precio por bulto ($)]]/Inventario39[[#This Row],[Cantidad de unidades por bulto]])</calculatedColumnFormula>
    </tableColumn>
    <tableColumn id="4" xr3:uid="{4977E2C9-5DF1-416F-B253-15A2B2DDC020}" name="Importe" dataDxfId="333">
      <calculatedColumnFormula>Inventario39[[#This Row],[Precio]]*Inventario39[[#This Row],[Existencia]]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079F7FC-E44F-425E-B138-A3BC71A30774}" name="Inventario38" displayName="Inventario38" ref="A1:G40" totalsRowShown="0" headerRowDxfId="332" dataDxfId="331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A87C0847-93A4-4508-8A3E-B29A3ABE3DEC}" name="Codigo" dataDxfId="330"/>
    <tableColumn id="2" xr3:uid="{F5F95624-1D34-4055-AC41-E64E0EE0B669}" name="Producto" dataDxfId="329"/>
    <tableColumn id="3" xr3:uid="{0C098D62-0209-4516-B904-C5A067F13E49}" name="Existencia" dataDxfId="328"/>
    <tableColumn id="5" xr3:uid="{339ABF54-B5FE-4358-B725-ED8B3EF4B2E5}" name="Cantidad de unidades por bulto" dataDxfId="327"/>
    <tableColumn id="7" xr3:uid="{96E91D2B-DBC4-4747-968E-6D74358F1405}" name="Precio por bulto ($)" dataDxfId="326"/>
    <tableColumn id="14" xr3:uid="{3347B59C-6295-4FFE-9A47-3A704A56CEFA}" name="Precio" dataDxfId="325">
      <calculatedColumnFormula>IF(Inventario38[[#This Row],[Cantidad de unidades por bulto]]=0, 0, Inventario38[[#This Row],[Precio por bulto ($)]]/Inventario38[[#This Row],[Cantidad de unidades por bulto]])</calculatedColumnFormula>
    </tableColumn>
    <tableColumn id="4" xr3:uid="{F896A1A4-F91C-48DE-A47E-C6F63F1931DA}" name="Importe" dataDxfId="324">
      <calculatedColumnFormula>Inventario38[[#This Row],[Precio]]*Inventario38[[#This Row],[Existencia]]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9F24034-8990-48E9-AED9-63C20708E48D}" name="Inventario37" displayName="Inventario37" ref="A1:G40" totalsRowShown="0" headerRowDxfId="323" dataDxfId="322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3B9EE811-C47E-4675-B4E4-34AA1468A1EF}" name="Codigo" dataDxfId="321"/>
    <tableColumn id="2" xr3:uid="{714ABF82-A161-46A3-A03D-F52F25A87D78}" name="Producto" dataDxfId="320"/>
    <tableColumn id="3" xr3:uid="{6E61F637-2EDF-4D2A-BDD0-3A31028FDB0D}" name="Existencia" dataDxfId="319"/>
    <tableColumn id="5" xr3:uid="{7AC2FB33-0672-4431-B617-DEBEDEDBB677}" name="Cantidad de unidades por bulto" dataDxfId="318"/>
    <tableColumn id="7" xr3:uid="{51F0F7F8-DC1D-453D-963A-EE05F5226FFB}" name="Precio por bulto ($)" dataDxfId="317"/>
    <tableColumn id="14" xr3:uid="{E422876B-5DFE-43C7-B31D-154FB3E82FD8}" name="Precio" dataDxfId="316">
      <calculatedColumnFormula>IF(Inventario37[[#This Row],[Cantidad de unidades por bulto]]=0, 0, Inventario37[[#This Row],[Precio por bulto ($)]]/Inventario37[[#This Row],[Cantidad de unidades por bulto]])</calculatedColumnFormula>
    </tableColumn>
    <tableColumn id="4" xr3:uid="{8A082518-CE40-4442-A902-45F038E3D9C3}" name="Importe" dataDxfId="315">
      <calculatedColumnFormula>Inventario37[[#This Row],[Precio]]*Inventario37[[#This Row],[Existencia]]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F303FCA-1D10-475E-89B5-E097D2919FC7}" name="Inventario36" displayName="Inventario36" ref="A1:G40" totalsRowShown="0" headerRowDxfId="314" dataDxfId="313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30A5E2D7-6969-433E-9767-C7FBF594C46E}" name="Codigo" dataDxfId="312"/>
    <tableColumn id="2" xr3:uid="{0E0C30A7-5B04-42E8-AD59-A11851E97321}" name="Producto" dataDxfId="311"/>
    <tableColumn id="3" xr3:uid="{C3EC705C-EA48-46D0-8D31-3B1AB300FB66}" name="Existencia" dataDxfId="310"/>
    <tableColumn id="5" xr3:uid="{9E1C1DD0-3267-4A8A-A8D3-DC4C326AA224}" name="Cantidad de unidades por bulto" dataDxfId="309"/>
    <tableColumn id="7" xr3:uid="{B9E44AA6-D909-4C09-809C-8B4018D85062}" name="Precio por bulto ($)" dataDxfId="308"/>
    <tableColumn id="14" xr3:uid="{811DBBC7-A2BA-4C6E-8833-5A5D20A23A5F}" name="Precio" dataDxfId="307">
      <calculatedColumnFormula>IF(Inventario36[[#This Row],[Cantidad de unidades por bulto]]=0, 0, Inventario36[[#This Row],[Precio por bulto ($)]]/Inventario36[[#This Row],[Cantidad de unidades por bulto]])</calculatedColumnFormula>
    </tableColumn>
    <tableColumn id="4" xr3:uid="{5E7D9F5F-60C1-44C3-A563-DBFFD5D14512}" name="Importe" dataDxfId="306">
      <calculatedColumnFormula>Inventario36[[#This Row],[Precio]]*Inventario36[[#This Row],[Existencia]]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101CEEC-70B7-4E4F-892C-973F2C064D41}" name="Inventario35" displayName="Inventario35" ref="A1:G40" totalsRowShown="0" headerRowDxfId="305" dataDxfId="304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41205126-7EE0-4749-AA71-2FBF9B40CA6A}" name="Codigo" dataDxfId="303"/>
    <tableColumn id="2" xr3:uid="{82F0CAD0-F90F-4E70-9BC3-F8EF5409AE39}" name="Producto" dataDxfId="302"/>
    <tableColumn id="3" xr3:uid="{2521125A-1F33-4BAF-9C7B-67B33BD4472A}" name="Existencia" dataDxfId="301"/>
    <tableColumn id="5" xr3:uid="{BFDC47EA-4DFE-48DB-805F-2B30958F7EF1}" name="Cantidad de unidades por bulto" dataDxfId="300"/>
    <tableColumn id="7" xr3:uid="{3F271D80-525F-4EF9-95D1-540F7D36B54D}" name="Precio por bulto ($)" dataDxfId="299"/>
    <tableColumn id="14" xr3:uid="{9E5B3C0B-937B-4A6E-A295-BEFB5E656D21}" name="Precio" dataDxfId="298">
      <calculatedColumnFormula>IF(Inventario35[[#This Row],[Cantidad de unidades por bulto]]=0, 0, Inventario35[[#This Row],[Precio por bulto ($)]]/Inventario35[[#This Row],[Cantidad de unidades por bulto]])</calculatedColumnFormula>
    </tableColumn>
    <tableColumn id="4" xr3:uid="{C79A4EE2-EA8A-4AC5-BFCC-871CC048A9CF}" name="Importe" dataDxfId="297">
      <calculatedColumnFormula>Inventario35[[#This Row],[Precio]]*Inventario35[[#This Row],[Existencia]]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E3D5F5E4-D041-4799-8F98-DD106BEBD95F}" name="Inventario34" displayName="Inventario34" ref="A1:G40" totalsRowShown="0" headerRowDxfId="296" dataDxfId="295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67AC8675-27C2-4982-9B76-F047870FFC6E}" name="Codigo" dataDxfId="294"/>
    <tableColumn id="2" xr3:uid="{E1CCAA88-62A4-4555-A702-BA10C53E9B13}" name="Producto" dataDxfId="293"/>
    <tableColumn id="3" xr3:uid="{FDDBA77C-DD0A-4028-92BA-DCD60867CC1C}" name="Existencia" dataDxfId="292"/>
    <tableColumn id="5" xr3:uid="{47E2B888-0745-45B5-AABA-392327DB07F2}" name="Cantidad de unidades por bulto" dataDxfId="291"/>
    <tableColumn id="7" xr3:uid="{450A4F65-4C5D-498F-918F-0F32AFED404C}" name="Precio por bulto ($)" dataDxfId="290"/>
    <tableColumn id="14" xr3:uid="{00EFCD5C-3E6D-4B9A-B5AC-4461E1AC591E}" name="Precio" dataDxfId="289">
      <calculatedColumnFormula>IF(Inventario34[[#This Row],[Cantidad de unidades por bulto]]=0, 0, Inventario34[[#This Row],[Precio por bulto ($)]]/Inventario34[[#This Row],[Cantidad de unidades por bulto]])</calculatedColumnFormula>
    </tableColumn>
    <tableColumn id="4" xr3:uid="{81C1BCED-22B1-4197-B635-EE19E863599F}" name="Importe" dataDxfId="288">
      <calculatedColumnFormula>Inventario34[[#This Row],[Precio]]*Inventario34[[#This Row],[Existencia]]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C6791A3-69A2-4406-9FA7-8DDA8FC8416F}" name="Inventario33" displayName="Inventario33" ref="A1:G40" totalsRowShown="0" headerRowDxfId="287" dataDxfId="286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65B6DDAC-DD7B-4613-B6E4-9875780639C3}" name="Codigo" dataDxfId="285"/>
    <tableColumn id="2" xr3:uid="{75C48EEE-A22B-4850-BCA7-2E8F386206F9}" name="Producto" dataDxfId="284"/>
    <tableColumn id="3" xr3:uid="{BB638FE5-5509-4E6A-9637-F1CD7C78E879}" name="Existencia" dataDxfId="283"/>
    <tableColumn id="5" xr3:uid="{AA78F962-E3CB-40F8-B117-D6E1A978B2B3}" name="Cantidad de unidades por bulto" dataDxfId="282"/>
    <tableColumn id="7" xr3:uid="{448CDBE5-10C5-4690-9B5A-CB1CE1F325B8}" name="Precio por bulto ($)" dataDxfId="281"/>
    <tableColumn id="14" xr3:uid="{A6EB9851-A56C-48BE-9349-F672A98A1BFF}" name="Precio" dataDxfId="280">
      <calculatedColumnFormula>IF(Inventario33[[#This Row],[Cantidad de unidades por bulto]]=0, 0, Inventario33[[#This Row],[Precio por bulto ($)]]/Inventario33[[#This Row],[Cantidad de unidades por bulto]])</calculatedColumnFormula>
    </tableColumn>
    <tableColumn id="4" xr3:uid="{6F9C8CE0-9008-4856-8F57-34ACB6270BDC}" name="Importe" dataDxfId="279">
      <calculatedColumnFormula>Inventario33[[#This Row],[Precio]]*Inventario33[[#This Row],[Existencia]]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17D47DB-0759-49BC-BA76-C4ED3C14CFBF}" name="Inventario29" displayName="Inventario29" ref="A1:G40" totalsRowShown="0" headerRowDxfId="278" dataDxfId="277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9EFEA78D-E935-471E-8F53-BF6E57F89226}" name="Codigo" dataDxfId="276"/>
    <tableColumn id="2" xr3:uid="{0A27AB3B-AF9B-496F-A10A-73D4FC1EF7ED}" name="Producto" dataDxfId="275"/>
    <tableColumn id="3" xr3:uid="{92C86059-B131-4DA4-902A-9362F86E383B}" name="Existencia" dataDxfId="274"/>
    <tableColumn id="5" xr3:uid="{D4696628-C833-4333-BBC0-CF566ECEF418}" name="Cantidad de unidades por bulto" dataDxfId="273"/>
    <tableColumn id="7" xr3:uid="{37290AC5-0FA3-4908-B6F9-0DF7EC73E813}" name="Precio por bulto ($)" dataDxfId="272"/>
    <tableColumn id="14" xr3:uid="{10D97F5F-3DF9-449D-AA73-5302ECB58906}" name="Precio" dataDxfId="271">
      <calculatedColumnFormula>IF(Inventario29[[#This Row],[Cantidad de unidades por bulto]]=0, 0, Inventario29[[#This Row],[Precio por bulto ($)]]/Inventario29[[#This Row],[Cantidad de unidades por bulto]])</calculatedColumnFormula>
    </tableColumn>
    <tableColumn id="4" xr3:uid="{384636E6-9465-4ACE-AE88-191FA6E69DA5}" name="Importe" dataDxfId="270">
      <calculatedColumnFormula>Inventario29[[#This Row],[Precio]]*Inventario29[[#This Row],[Existencia]]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488B9DC8-66C3-44B3-B9DC-892DDCB99160}" name="Inventario28" displayName="Inventario28" ref="A1:G40" totalsRowShown="0" headerRowDxfId="269" dataDxfId="268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A012A217-928B-40E7-9F65-C8F646E422B5}" name="Codigo" dataDxfId="267"/>
    <tableColumn id="2" xr3:uid="{E2EE6677-35AE-45BC-850F-400DE98900CC}" name="Producto" dataDxfId="266"/>
    <tableColumn id="3" xr3:uid="{B1A208CA-F34D-4620-B569-010AC4F42703}" name="Existencia" dataDxfId="265"/>
    <tableColumn id="5" xr3:uid="{DF6990A6-A642-427B-AACE-34F0001764F3}" name="Cantidad de unidades por bulto" dataDxfId="264"/>
    <tableColumn id="7" xr3:uid="{4E9E276E-D8EE-47AD-B8F5-35A732BA2043}" name="Precio por bulto ($)" dataDxfId="263"/>
    <tableColumn id="14" xr3:uid="{2A75DC93-2554-4CD9-A75F-1268FDB2F2E9}" name="Precio" dataDxfId="262">
      <calculatedColumnFormula>IF(Inventario28[[#This Row],[Cantidad de unidades por bulto]]=0, 0, Inventario28[[#This Row],[Precio por bulto ($)]]/Inventario28[[#This Row],[Cantidad de unidades por bulto]])</calculatedColumnFormula>
    </tableColumn>
    <tableColumn id="4" xr3:uid="{94E7BA40-9A7B-4F10-A090-97C08CB0EA5E}" name="Importe" dataDxfId="261">
      <calculatedColumnFormula>Inventario28[[#This Row],[Precio]]*Inventario28[[#This Row],[Existencia]]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C46A97B-1AA8-4751-AF67-84851B418185}" name="Inventario27" displayName="Inventario27" ref="A1:G40" totalsRowShown="0" headerRowDxfId="260" dataDxfId="259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2CAADB60-C116-4311-AA63-9EB24CF33341}" name="Codigo" dataDxfId="258"/>
    <tableColumn id="2" xr3:uid="{A35FB1CB-114B-4D94-8BA7-CFA5B31D5786}" name="Producto" dataDxfId="257"/>
    <tableColumn id="3" xr3:uid="{370222AD-76FD-44A1-8F8A-C47364D50533}" name="Existencia" dataDxfId="256"/>
    <tableColumn id="5" xr3:uid="{7DCD5B85-C46F-4543-B696-2C3D51E93F62}" name="Cantidad de unidades por bulto" dataDxfId="255"/>
    <tableColumn id="7" xr3:uid="{E0EFE8E0-31D4-4FD6-A1DA-40CD457B390C}" name="Precio por bulto ($)" dataDxfId="254"/>
    <tableColumn id="14" xr3:uid="{69D2811E-6D4A-4324-82AF-6A061667F185}" name="Precio" dataDxfId="253">
      <calculatedColumnFormula>IF(Inventario27[[#This Row],[Cantidad de unidades por bulto]]=0, 0, Inventario27[[#This Row],[Precio por bulto ($)]]/Inventario27[[#This Row],[Cantidad de unidades por bulto]])</calculatedColumnFormula>
    </tableColumn>
    <tableColumn id="4" xr3:uid="{02CB43B4-1B11-4E15-BB5F-32BBCA9079D8}" name="Importe" dataDxfId="252">
      <calculatedColumnFormula>Inventario27[[#This Row],[Precio]]*Inventario27[[#This Row],[Existencia]]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21F2684-8729-46BD-B41F-709642D7F873}" name="Inventario26" displayName="Inventario26" ref="A1:G40" totalsRowShown="0" headerRowDxfId="251" dataDxfId="250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BB211232-2028-4743-9ADD-56EDC312A6CF}" name="Codigo" dataDxfId="249"/>
    <tableColumn id="2" xr3:uid="{7B117DCA-C7C1-49DD-92FE-7837B3AF1E12}" name="Producto" dataDxfId="248"/>
    <tableColumn id="3" xr3:uid="{82C5362C-FDFD-4292-B728-1F872AA60210}" name="Existencia" dataDxfId="247"/>
    <tableColumn id="5" xr3:uid="{97E7474C-867D-4299-880C-062920BC9912}" name="Cantidad de unidades por bulto" dataDxfId="246"/>
    <tableColumn id="7" xr3:uid="{0D34B3DF-3F41-44EE-88C2-744AD88AA399}" name="Precio por bulto ($)" dataDxfId="245"/>
    <tableColumn id="14" xr3:uid="{5597AC25-1EDE-4785-A884-64EDD22A4CDC}" name="Precio" dataDxfId="244">
      <calculatedColumnFormula>IF(Inventario26[[#This Row],[Cantidad de unidades por bulto]]=0, 0, Inventario26[[#This Row],[Precio por bulto ($)]]/Inventario26[[#This Row],[Cantidad de unidades por bulto]])</calculatedColumnFormula>
    </tableColumn>
    <tableColumn id="4" xr3:uid="{FAAB3BF7-ECB0-4E8E-8249-E7BD9389D950}" name="Importe" dataDxfId="243">
      <calculatedColumnFormula>Inventario26[[#This Row],[Precio]]*Inventario26[[#This Row],[Existencia]]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C486DA4-7499-4960-977B-9CC9D4FF0F94}" name="Inventario25" displayName="Inventario25" ref="A1:G40" totalsRowShown="0" headerRowDxfId="242" dataDxfId="241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BA57E3BD-575A-4086-8972-B1EC2D9FDF67}" name="Codigo" dataDxfId="240"/>
    <tableColumn id="2" xr3:uid="{EC397AC8-F91E-4B3D-8873-74A96BAD18C2}" name="Producto" dataDxfId="239"/>
    <tableColumn id="3" xr3:uid="{FF1AD2D1-2870-4EF1-9E65-CE8FAB44338E}" name="Existencia" dataDxfId="238"/>
    <tableColumn id="5" xr3:uid="{6E6DE3AD-215D-4CFE-B087-3C0FFAEC8A2E}" name="Cantidad de unidades por bulto" dataDxfId="237"/>
    <tableColumn id="7" xr3:uid="{5E6289DA-3D2F-4828-9C4C-BA37657E6F8B}" name="Precio por bulto ($)" dataDxfId="236"/>
    <tableColumn id="14" xr3:uid="{DF0BCBA3-626E-47F4-A1BF-A3C8316A18E7}" name="Precio" dataDxfId="235">
      <calculatedColumnFormula>IF(Inventario25[[#This Row],[Cantidad de unidades por bulto]]=0, 0, Inventario25[[#This Row],[Precio por bulto ($)]]/Inventario25[[#This Row],[Cantidad de unidades por bulto]])</calculatedColumnFormula>
    </tableColumn>
    <tableColumn id="4" xr3:uid="{FE96D770-8BCE-4A0A-BEEC-3F558631CC31}" name="Importe" dataDxfId="234">
      <calculatedColumnFormula>Inventario25[[#This Row],[Precio]]*Inventario25[[#This Row],[Existencia]]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1D54183-0C0B-4B00-8A25-103D41DFEAB7}" name="Inventario24" displayName="Inventario24" ref="A1:G40" totalsRowShown="0" headerRowDxfId="233" dataDxfId="232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643D00F8-24C3-4C82-B842-80F7726D20F0}" name="Codigo" dataDxfId="231"/>
    <tableColumn id="2" xr3:uid="{6CEBB172-F89D-40BA-8493-0C7528C14AAC}" name="Producto" dataDxfId="230"/>
    <tableColumn id="3" xr3:uid="{C3D9344F-71F7-4BDA-9B26-E8093F74CCD4}" name="Existencia" dataDxfId="229"/>
    <tableColumn id="5" xr3:uid="{762E146D-A27E-443F-BAF9-8EEF59885A36}" name="Cantidad de unidades por bulto" dataDxfId="228"/>
    <tableColumn id="7" xr3:uid="{E1CF4B0A-F7DB-40E4-88BB-839D00ABD3BB}" name="Precio por bulto ($)" dataDxfId="227"/>
    <tableColumn id="14" xr3:uid="{F8C4C8AC-8996-4099-8E64-0F3FAE51CDC0}" name="Precio" dataDxfId="226">
      <calculatedColumnFormula>IF(Inventario24[[#This Row],[Cantidad de unidades por bulto]]=0, 0, Inventario24[[#This Row],[Precio por bulto ($)]]/Inventario24[[#This Row],[Cantidad de unidades por bulto]])</calculatedColumnFormula>
    </tableColumn>
    <tableColumn id="4" xr3:uid="{CA5D45ED-31C5-45E5-865A-B1894CE48DD2}" name="Importe" dataDxfId="225">
      <calculatedColumnFormula>Inventario24[[#This Row],[Precio]]*Inventario24[[#This Row],[Existencia]]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3469265-8F28-4AE0-8C37-51A7D53523F2}" name="Inventario23" displayName="Inventario23" ref="A1:G40" totalsRowShown="0" headerRowDxfId="224" dataDxfId="223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DB2D82C3-B991-49C9-9713-FC559E643A83}" name="Codigo" dataDxfId="222"/>
    <tableColumn id="2" xr3:uid="{BC3F561D-4CF0-4A89-A480-20B5644D9D3E}" name="Producto" dataDxfId="221"/>
    <tableColumn id="3" xr3:uid="{54D0EADE-35B5-4815-9ADF-C1E6C6EF6220}" name="Existencia" dataDxfId="220"/>
    <tableColumn id="5" xr3:uid="{0BA2E18A-905F-4830-82BF-61FB10D319B7}" name="Cantidad de unidades por bulto" dataDxfId="219"/>
    <tableColumn id="7" xr3:uid="{9B2ECD12-B271-4E53-921D-76EDA9B8314A}" name="Precio por bulto ($)" dataDxfId="218"/>
    <tableColumn id="14" xr3:uid="{B8C1FCBD-FF5D-42FF-AB08-443EEBEC97CD}" name="Precio" dataDxfId="217">
      <calculatedColumnFormula>IF(Inventario23[[#This Row],[Cantidad de unidades por bulto]]=0, 0, Inventario23[[#This Row],[Precio por bulto ($)]]/Inventario23[[#This Row],[Cantidad de unidades por bulto]])</calculatedColumnFormula>
    </tableColumn>
    <tableColumn id="4" xr3:uid="{465FE149-524F-4E84-9115-A07500D662FD}" name="Importe" dataDxfId="216">
      <calculatedColumnFormula>Inventario23[[#This Row],[Precio]]*Inventario23[[#This Row],[Existencia]]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D1231C1-79C5-4674-BA28-BD72DCAC942D}" name="Inventario22" displayName="Inventario22" ref="A1:G40" totalsRowShown="0" headerRowDxfId="215" dataDxfId="214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B72AB6E4-E624-44DA-8B07-5F1852736C77}" name="Codigo" dataDxfId="213"/>
    <tableColumn id="2" xr3:uid="{22EADAAF-C677-40D6-BDBF-683715B8C882}" name="Producto" dataDxfId="212"/>
    <tableColumn id="3" xr3:uid="{807C6E53-4476-4186-8659-E28B76C81530}" name="Existencia" dataDxfId="211"/>
    <tableColumn id="5" xr3:uid="{587C86C0-6590-4B64-A343-8150FCA35ADA}" name="Cantidad de unidades por bulto" dataDxfId="210"/>
    <tableColumn id="7" xr3:uid="{6A71A688-6A63-488A-A7E4-BFF21A040556}" name="Precio por bulto ($)" dataDxfId="209"/>
    <tableColumn id="14" xr3:uid="{B99DD80C-90A7-42DB-95A4-D296A7D629A7}" name="Precio" dataDxfId="208">
      <calculatedColumnFormula>IF(Inventario22[[#This Row],[Cantidad de unidades por bulto]]=0, 0, Inventario22[[#This Row],[Precio por bulto ($)]]/Inventario22[[#This Row],[Cantidad de unidades por bulto]])</calculatedColumnFormula>
    </tableColumn>
    <tableColumn id="4" xr3:uid="{9CB8C6CB-510B-4D5E-AF81-E2AE8C0FAE49}" name="Importe" dataDxfId="207">
      <calculatedColumnFormula>Inventario22[[#This Row],[Precio]]*Inventario22[[#This Row],[Existencia]]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4184D1C-ABB7-475D-859D-90ED4456279C}" name="Inventario21" displayName="Inventario21" ref="A1:G40" totalsRowShown="0" headerRowDxfId="206" dataDxfId="205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DB5384B1-BF34-449C-9B59-B42A6BBB548A}" name="Codigo" dataDxfId="204"/>
    <tableColumn id="2" xr3:uid="{E3A5DE60-5AF6-463C-9D26-10011809557B}" name="Producto" dataDxfId="203"/>
    <tableColumn id="3" xr3:uid="{2CED186F-AB0F-4462-8EA6-9FC6F653A4F1}" name="Existencia" dataDxfId="202"/>
    <tableColumn id="5" xr3:uid="{5EEC2016-64CC-4239-91F9-1A0333CD5578}" name="Cantidad de unidades por bulto" dataDxfId="201"/>
    <tableColumn id="7" xr3:uid="{3268389F-0DB4-4A00-9795-5BB218115BCA}" name="Precio por bulto ($)" dataDxfId="200"/>
    <tableColumn id="14" xr3:uid="{F476EA86-E394-40C2-B3E6-C09158532DC5}" name="Precio" dataDxfId="199">
      <calculatedColumnFormula>IF(Inventario21[[#This Row],[Cantidad de unidades por bulto]]=0, 0, Inventario21[[#This Row],[Precio por bulto ($)]]/Inventario21[[#This Row],[Cantidad de unidades por bulto]])</calculatedColumnFormula>
    </tableColumn>
    <tableColumn id="4" xr3:uid="{B4FAE38F-4386-4389-BECB-E19614478264}" name="Importe" dataDxfId="198">
      <calculatedColumnFormula>Inventario21[[#This Row],[Precio]]*Inventario21[[#This Row],[Existencia]]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940D755-9139-48BB-9FB5-33AA127F7DA8}" name="Inventario20" displayName="Inventario20" ref="A1:G40" totalsRowShown="0" headerRowDxfId="197" dataDxfId="196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5B06C609-A38B-476C-82C3-C579A728FE11}" name="Codigo" dataDxfId="195"/>
    <tableColumn id="2" xr3:uid="{B8375720-2209-47A2-B593-F3767A2C2EFF}" name="Producto" dataDxfId="194"/>
    <tableColumn id="3" xr3:uid="{8658458F-02A4-4EB1-9F8F-0E8CDA4F3F13}" name="Existencia" dataDxfId="193"/>
    <tableColumn id="5" xr3:uid="{A64B241A-6169-436B-832F-9D7110476DED}" name="Cantidad de unidades por bulto" dataDxfId="192"/>
    <tableColumn id="7" xr3:uid="{7B1CBA8A-172F-4314-BA2D-EFF17023479D}" name="Precio por bulto ($)" dataDxfId="191"/>
    <tableColumn id="14" xr3:uid="{D2989036-3BB9-481A-BEA5-6373195E5546}" name="Precio" dataDxfId="190">
      <calculatedColumnFormula>IF(Inventario20[[#This Row],[Cantidad de unidades por bulto]]=0, 0, Inventario20[[#This Row],[Precio por bulto ($)]]/Inventario20[[#This Row],[Cantidad de unidades por bulto]])</calculatedColumnFormula>
    </tableColumn>
    <tableColumn id="4" xr3:uid="{65BD64D9-96CF-41E5-9304-737CC90F5740}" name="Importe" dataDxfId="189">
      <calculatedColumnFormula>Inventario20[[#This Row],[Precio]]*Inventario20[[#This Row],[Existencia]]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2438975-90BD-4C01-AFCB-3D53E7AD19CD}" name="Inventario19" displayName="Inventario19" ref="A1:G40" totalsRowShown="0" headerRowDxfId="188" dataDxfId="187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5507CEBC-B868-4EDF-B68D-175FE3C31E67}" name="Codigo" dataDxfId="186"/>
    <tableColumn id="2" xr3:uid="{9DBF7D3E-5389-45B2-8398-B42F57B4A7EA}" name="Producto" dataDxfId="185"/>
    <tableColumn id="3" xr3:uid="{9DD045C2-E702-403B-9277-E5242C10F8F3}" name="Existencia" dataDxfId="184"/>
    <tableColumn id="5" xr3:uid="{7EFD7FF4-E24C-4A00-8EC4-80790DFE10ED}" name="Cantidad de unidades por bulto" dataDxfId="183"/>
    <tableColumn id="7" xr3:uid="{B09921C6-F799-4AEC-A596-35262744BAE1}" name="Precio por bulto ($)" dataDxfId="182"/>
    <tableColumn id="14" xr3:uid="{B9BE6F15-F4F2-48AF-9566-B85F679E60C5}" name="Precio" dataDxfId="181">
      <calculatedColumnFormula>IF(Inventario19[[#This Row],[Cantidad de unidades por bulto]]=0, 0, Inventario19[[#This Row],[Precio por bulto ($)]]/Inventario19[[#This Row],[Cantidad de unidades por bulto]])</calculatedColumnFormula>
    </tableColumn>
    <tableColumn id="4" xr3:uid="{CC07481C-8679-45E4-AF5A-9AEF0A657696}" name="Importe" dataDxfId="180">
      <calculatedColumnFormula>Inventario19[[#This Row],[Precio]]*Inventario19[[#This Row],[Existencia]]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17ED2B3-8EC3-4B5F-A4C7-4135D30507C8}" name="Inventario18" displayName="Inventario18" ref="A1:G40" totalsRowShown="0" headerRowDxfId="179" dataDxfId="178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27B6613F-9B11-4C02-9B41-4540459CF292}" name="Codigo" dataDxfId="177"/>
    <tableColumn id="2" xr3:uid="{5E332A73-891E-42C8-9388-1D82E483F5E5}" name="Producto" dataDxfId="176"/>
    <tableColumn id="3" xr3:uid="{D8F53E24-C2A0-442C-8F37-961C7FA62D50}" name="Existencia" dataDxfId="175"/>
    <tableColumn id="5" xr3:uid="{940CE783-CC31-4945-9BA0-B88BB54C4ECB}" name="Cantidad de unidades por bulto" dataDxfId="174"/>
    <tableColumn id="7" xr3:uid="{6E2CB0D7-AC3F-4AD8-9CBD-BDDD43C2B069}" name="Precio por bulto ($)" dataDxfId="173"/>
    <tableColumn id="14" xr3:uid="{0D6D07D2-7528-45C0-9379-191D71B0AB8C}" name="Precio" dataDxfId="172">
      <calculatedColumnFormula>IF(Inventario18[[#This Row],[Cantidad de unidades por bulto]]=0, 0, Inventario18[[#This Row],[Precio por bulto ($)]]/Inventario18[[#This Row],[Cantidad de unidades por bulto]])</calculatedColumnFormula>
    </tableColumn>
    <tableColumn id="4" xr3:uid="{F223846E-5968-4454-ACA1-0BDC9C81CF05}" name="Importe" dataDxfId="171">
      <calculatedColumnFormula>Inventario18[[#This Row],[Precio]]*Inventario18[[#This Row],[Existencia]]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C5F243E-F0A3-40F9-B24D-8E646E0682E3}" name="Inventario17" displayName="Inventario17" ref="A1:G40" totalsRowShown="0" headerRowDxfId="170" dataDxfId="169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53B459A9-8E3A-4A35-A599-83675EF0C047}" name="Codigo" dataDxfId="168"/>
    <tableColumn id="2" xr3:uid="{06D763A5-8B78-4283-A82C-259020014510}" name="Producto" dataDxfId="167"/>
    <tableColumn id="3" xr3:uid="{A572BD08-74C0-4CF7-960F-B11B3B45EFD0}" name="Existencia" dataDxfId="166"/>
    <tableColumn id="5" xr3:uid="{0433CCA2-6BBD-4396-A7B6-9BAA624BD004}" name="Cantidad de unidades por bulto" dataDxfId="165"/>
    <tableColumn id="7" xr3:uid="{0032FE69-9504-4820-B8D3-1030609D93D8}" name="Precio por bulto ($)" dataDxfId="164"/>
    <tableColumn id="14" xr3:uid="{D61F5AD2-A985-4C57-9262-C36D432B6E52}" name="Precio" dataDxfId="163">
      <calculatedColumnFormula>IF(Inventario17[[#This Row],[Cantidad de unidades por bulto]]=0, 0, Inventario17[[#This Row],[Precio por bulto ($)]]/Inventario17[[#This Row],[Cantidad de unidades por bulto]])</calculatedColumnFormula>
    </tableColumn>
    <tableColumn id="4" xr3:uid="{D4113236-2C4A-4C1F-95BB-7F04662F0BFC}" name="Importe" dataDxfId="162">
      <calculatedColumnFormula>Inventario17[[#This Row],[Precio]]*Inventario17[[#This Row],[Existencia]]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D51E2F7-DDF9-4AB0-AD0A-E616430AB2B5}" name="Inventario16" displayName="Inventario16" ref="A1:G40" totalsRowShown="0" headerRowDxfId="161" dataDxfId="160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DC6A6EC7-83EA-42C4-B37F-20F6AFA50EF8}" name="Codigo" dataDxfId="159"/>
    <tableColumn id="2" xr3:uid="{5264E25B-787E-4047-AF9B-6B2C0F39499C}" name="Producto" dataDxfId="158"/>
    <tableColumn id="3" xr3:uid="{57C119E2-6DC5-4D3A-9976-454AC1625ED4}" name="Existencia" dataDxfId="157"/>
    <tableColumn id="5" xr3:uid="{E6CEFC95-C9DC-4DA6-B138-6B5933D57828}" name="Cantidad de unidades por bulto" dataDxfId="156"/>
    <tableColumn id="7" xr3:uid="{4805998B-A2EB-4AB8-B885-55788B7A95FB}" name="Precio por bulto ($)" dataDxfId="155"/>
    <tableColumn id="14" xr3:uid="{88D5B2A4-CF8D-4436-AD99-C7D3A029FA86}" name="Precio" dataDxfId="154">
      <calculatedColumnFormula>IF(Inventario16[[#This Row],[Cantidad de unidades por bulto]]=0, 0, Inventario16[[#This Row],[Precio por bulto ($)]]/Inventario16[[#This Row],[Cantidad de unidades por bulto]])</calculatedColumnFormula>
    </tableColumn>
    <tableColumn id="4" xr3:uid="{4DE904C5-A047-41CA-956B-925FEA07ED8C}" name="Importe" dataDxfId="153">
      <calculatedColumnFormula>Inventario16[[#This Row],[Precio]]*Inventario16[[#This Row],[Existencia]]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69E4B69-24F7-4B61-8FD5-AF031016D06D}" name="Inventario15" displayName="Inventario15" ref="A1:G40" totalsRowShown="0" headerRowDxfId="152" dataDxfId="151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6C40CACB-CC22-49D0-8170-462648CF8155}" name="Codigo" dataDxfId="150"/>
    <tableColumn id="2" xr3:uid="{37BE436C-3B54-4A8E-B4D9-28C687F86951}" name="Producto" dataDxfId="149"/>
    <tableColumn id="3" xr3:uid="{9794B3DE-2587-48EE-B09F-F6C4050AECBB}" name="Existencia" dataDxfId="148"/>
    <tableColumn id="5" xr3:uid="{60808E66-AA60-4E6C-B908-8D6563D2FEB1}" name="Cantidad de unidades por bulto" dataDxfId="147"/>
    <tableColumn id="7" xr3:uid="{7FB59995-0A51-460D-A39C-A12674768DC1}" name="Precio por bulto ($)" dataDxfId="146"/>
    <tableColumn id="14" xr3:uid="{85101C25-E89F-4FA9-B51C-447E2D4CA139}" name="Precio" dataDxfId="145">
      <calculatedColumnFormula>IF(Inventario15[[#This Row],[Cantidad de unidades por bulto]]=0, 0, Inventario15[[#This Row],[Precio por bulto ($)]]/Inventario15[[#This Row],[Cantidad de unidades por bulto]])</calculatedColumnFormula>
    </tableColumn>
    <tableColumn id="4" xr3:uid="{38617112-CED4-4692-B400-85BF88A52679}" name="Importe" dataDxfId="144">
      <calculatedColumnFormula>Inventario15[[#This Row],[Precio]]*Inventario15[[#This Row],[Existencia]]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371490D-062E-4E71-9E40-15820D6B1908}" name="Inventario14" displayName="Inventario14" ref="A1:G40" totalsRowShown="0" headerRowDxfId="143" dataDxfId="142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333E4527-C8A5-4FAD-9FE9-E28A45B0594C}" name="Codigo" dataDxfId="141"/>
    <tableColumn id="2" xr3:uid="{9AE267FD-59B1-4F44-9AA7-5F4E242C84DD}" name="Producto" dataDxfId="140"/>
    <tableColumn id="3" xr3:uid="{9A7CC6BF-3FEC-40DB-858E-196CD9EBC95F}" name="Existencia" dataDxfId="139"/>
    <tableColumn id="5" xr3:uid="{E2D2BB75-01BA-4EC6-9966-2E366AB0893F}" name="Cantidad de unidades por bulto" dataDxfId="138"/>
    <tableColumn id="7" xr3:uid="{856D13AE-4DD6-48B3-8535-C0A9084DDC6D}" name="Precio por bulto ($)" dataDxfId="137"/>
    <tableColumn id="14" xr3:uid="{7AC805DC-A9AE-4FFE-86C6-AB0C4990722A}" name="Precio" dataDxfId="136">
      <calculatedColumnFormula>IF(Inventario14[[#This Row],[Cantidad de unidades por bulto]]=0, 0, Inventario14[[#This Row],[Precio por bulto ($)]]/Inventario14[[#This Row],[Cantidad de unidades por bulto]])</calculatedColumnFormula>
    </tableColumn>
    <tableColumn id="4" xr3:uid="{4089C33A-5F53-44F5-AF9E-3729A70A3DA0}" name="Importe" dataDxfId="135">
      <calculatedColumnFormula>Inventario14[[#This Row],[Precio]]*Inventario14[[#This Row],[Existencia]]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351529D-0585-4F97-9D95-CF4E71482999}" name="Inventario13" displayName="Inventario13" ref="A1:G40" totalsRowShown="0" headerRowDxfId="134" dataDxfId="133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23D6743B-948F-418F-9379-AD3A4A84D7BA}" name="Codigo" dataDxfId="132"/>
    <tableColumn id="2" xr3:uid="{7A90B93B-EF37-4E21-87E2-5204AD786F5A}" name="Producto" dataDxfId="131"/>
    <tableColumn id="3" xr3:uid="{9035A875-FFF1-4759-B479-667632A0BFD4}" name="Existencia" dataDxfId="130"/>
    <tableColumn id="5" xr3:uid="{54C2F8C5-FE04-48F3-A628-DEEEAC176AF1}" name="Cantidad de unidades por bulto" dataDxfId="129"/>
    <tableColumn id="7" xr3:uid="{D85789FB-A69E-4E85-8C63-DBFDF557C9BD}" name="Precio por bulto ($)" dataDxfId="128"/>
    <tableColumn id="14" xr3:uid="{306983AC-2F60-438C-9886-A91AC80E5DA1}" name="Precio" dataDxfId="127">
      <calculatedColumnFormula>IF(Inventario13[[#This Row],[Cantidad de unidades por bulto]]=0, 0, Inventario13[[#This Row],[Precio por bulto ($)]]/Inventario13[[#This Row],[Cantidad de unidades por bulto]])</calculatedColumnFormula>
    </tableColumn>
    <tableColumn id="4" xr3:uid="{B560F6BB-1121-4B6D-A29B-9049DC7D2003}" name="Importe" dataDxfId="126">
      <calculatedColumnFormula>Inventario13[[#This Row],[Precio]]*Inventario13[[#This Row],[Existencia]]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F8343A3-D411-4A67-B1F4-D606F404CEFC}" name="Inventario12" displayName="Inventario12" ref="A1:G40" totalsRowShown="0" headerRowDxfId="125" dataDxfId="124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0120DAF3-47E1-4BF8-82B2-85829CF947AC}" name="Codigo" dataDxfId="123"/>
    <tableColumn id="2" xr3:uid="{0FD9A811-9C9C-4298-9A52-DAA064CB1587}" name="Producto" dataDxfId="122"/>
    <tableColumn id="3" xr3:uid="{7F3AD32F-ACDF-4E1D-A3C3-3B19584C038B}" name="Existencia" dataDxfId="121"/>
    <tableColumn id="5" xr3:uid="{AB4983FF-1018-458A-B2C7-AB886AADF900}" name="Cantidad de unidades por bulto" dataDxfId="120"/>
    <tableColumn id="7" xr3:uid="{176FC870-B6D1-455C-A710-2D157DE8ECC8}" name="Precio por bulto ($)" dataDxfId="119"/>
    <tableColumn id="14" xr3:uid="{FE710F71-996C-4C1B-B36B-A51DD2282B62}" name="Precio" dataDxfId="118">
      <calculatedColumnFormula>IF(Inventario12[[#This Row],[Cantidad de unidades por bulto]]=0, 0, Inventario12[[#This Row],[Precio por bulto ($)]]/Inventario12[[#This Row],[Cantidad de unidades por bulto]])</calculatedColumnFormula>
    </tableColumn>
    <tableColumn id="4" xr3:uid="{FD02DEA6-B1F2-454E-806C-06FBD12E8F0A}" name="Importe" dataDxfId="117">
      <calculatedColumnFormula>Inventario12[[#This Row],[Precio]]*Inventario12[[#This Row],[Existencia]]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52A66C-5FD1-4746-9E81-A6A0580E01D7}" name="Inventario11" displayName="Inventario11" ref="A1:G40" totalsRowShown="0" headerRowDxfId="116" dataDxfId="115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4B324CE4-E9DA-48D7-8269-712EAF7C8BFA}" name="Codigo" dataDxfId="114"/>
    <tableColumn id="2" xr3:uid="{191B866B-826E-401C-BB80-0CD390ED3A15}" name="Producto" dataDxfId="113"/>
    <tableColumn id="3" xr3:uid="{94620F75-E375-4DEC-9F47-EBEDFEB0A365}" name="Existencia" dataDxfId="112"/>
    <tableColumn id="5" xr3:uid="{31E90BB1-E9F7-42A9-AAFE-056537D3629C}" name="Cantidad de unidades por bulto" dataDxfId="111"/>
    <tableColumn id="7" xr3:uid="{3EA46CE2-B248-4AB1-894A-0348ABBE499E}" name="Precio por bulto ($)" dataDxfId="110"/>
    <tableColumn id="14" xr3:uid="{6EA6E582-2957-43EF-8F1A-728A9BF676D6}" name="Precio" dataDxfId="109">
      <calculatedColumnFormula>IF(Inventario11[[#This Row],[Cantidad de unidades por bulto]]=0, 0, Inventario11[[#This Row],[Precio por bulto ($)]]/Inventario11[[#This Row],[Cantidad de unidades por bulto]])</calculatedColumnFormula>
    </tableColumn>
    <tableColumn id="4" xr3:uid="{EE482D59-CBEA-41C4-BF81-0280E0AB1C98}" name="Importe" dataDxfId="108">
      <calculatedColumnFormula>Inventario11[[#This Row],[Precio]]*Inventario11[[#This Row],[Existencia]]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825A6F-B911-4001-A56C-88E8C0299874}" name="Inventario10" displayName="Inventario10" ref="A1:G40" totalsRowShown="0" headerRowDxfId="107" dataDxfId="106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35CF5E37-5CE7-422B-B798-2FB0EBE7F6D2}" name="Codigo" dataDxfId="105"/>
    <tableColumn id="2" xr3:uid="{F8AB70BE-1B12-4985-86D0-8ED2F37C2263}" name="Producto" dataDxfId="104"/>
    <tableColumn id="3" xr3:uid="{E4EABAD3-88BD-442F-A041-5D23D130117A}" name="Existencia" dataDxfId="103"/>
    <tableColumn id="5" xr3:uid="{41A85CBC-AA4B-422B-A90B-84C977FBA492}" name="Cantidad de unidades por bulto" dataDxfId="102"/>
    <tableColumn id="7" xr3:uid="{421C7D69-1452-44E5-A3F5-A63830C3621E}" name="Precio por bulto ($)" dataDxfId="101"/>
    <tableColumn id="14" xr3:uid="{461E8D54-638F-4DB3-9ED0-ABAF3C7B1887}" name="Precio" dataDxfId="100">
      <calculatedColumnFormula>IF(Inventario10[[#This Row],[Cantidad de unidades por bulto]]=0, 0, Inventario10[[#This Row],[Precio por bulto ($)]]/Inventario10[[#This Row],[Cantidad de unidades por bulto]])</calculatedColumnFormula>
    </tableColumn>
    <tableColumn id="4" xr3:uid="{90A7DD96-C9EB-4AA9-9B6B-9D4BB3322538}" name="Importe" dataDxfId="99">
      <calculatedColumnFormula>Inventario10[[#This Row],[Precio]]*Inventario10[[#This Row],[Existencia]]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4E84510-1387-414F-AC30-8BBA0589A006}" name="Inventario9" displayName="Inventario9" ref="A1:G40" totalsRowShown="0" headerRowDxfId="98" dataDxfId="97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C072E64D-78C5-44F8-972E-4C67EEA15F31}" name="Codigo" dataDxfId="96"/>
    <tableColumn id="2" xr3:uid="{05F4D497-4595-4EBE-85E9-1E292C27EBF7}" name="Producto" dataDxfId="95"/>
    <tableColumn id="3" xr3:uid="{0DF2D308-8598-4FF4-9467-4FB4DD0E40A2}" name="Existencia" dataDxfId="94"/>
    <tableColumn id="5" xr3:uid="{2A25DCDD-B523-4F08-8864-E821B06BBF38}" name="Cantidad de unidades por bulto" dataDxfId="93"/>
    <tableColumn id="7" xr3:uid="{E9907D0A-793C-4025-9A64-FB279EB7A61A}" name="Precio por bulto ($)" dataDxfId="92"/>
    <tableColumn id="14" xr3:uid="{97E9FE53-ACB8-43B0-9F5C-DDADE76361E2}" name="Precio" dataDxfId="91">
      <calculatedColumnFormula>IF(Inventario9[[#This Row],[Cantidad de unidades por bulto]]=0, 0, Inventario9[[#This Row],[Precio por bulto ($)]]/Inventario9[[#This Row],[Cantidad de unidades por bulto]])</calculatedColumnFormula>
    </tableColumn>
    <tableColumn id="4" xr3:uid="{C940B97D-9639-4B8E-BA39-5ADDE8482F1E}" name="Importe" dataDxfId="90">
      <calculatedColumnFormula>Inventario9[[#This Row],[Precio]]*Inventario9[[#This Row],[Existencia]]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7C0DF9A-1975-4A55-A03C-C545DA6B9927}" name="Inventario8" displayName="Inventario8" ref="A1:G40" totalsRowShown="0" headerRowDxfId="89" dataDxfId="88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A42996D1-F923-4CB1-8AA9-15AD4581074B}" name="Codigo" dataDxfId="87"/>
    <tableColumn id="2" xr3:uid="{C7941161-FC5C-4B5B-AD18-CC7C4869E908}" name="Producto" dataDxfId="86"/>
    <tableColumn id="3" xr3:uid="{1D09E69C-77FD-4A82-9D29-3A8C1C7E1798}" name="Existencia" dataDxfId="85"/>
    <tableColumn id="5" xr3:uid="{F113E63B-46CF-48BA-93BB-624020F41DB1}" name="Cantidad de unidades por bulto" dataDxfId="84"/>
    <tableColumn id="7" xr3:uid="{3A4AA19C-D368-4838-A552-68BB04116488}" name="Precio por bulto ($)" dataDxfId="83"/>
    <tableColumn id="14" xr3:uid="{B7E7F2B6-DEEA-4EC5-951F-E79601106CEC}" name="Precio" dataDxfId="82">
      <calculatedColumnFormula>IF(Inventario8[[#This Row],[Cantidad de unidades por bulto]]=0, 0, Inventario8[[#This Row],[Precio por bulto ($)]]/Inventario8[[#This Row],[Cantidad de unidades por bulto]])</calculatedColumnFormula>
    </tableColumn>
    <tableColumn id="4" xr3:uid="{374686E8-94A6-4A03-96B5-5989BF3A781B}" name="Importe" dataDxfId="81">
      <calculatedColumnFormula>Inventario8[[#This Row],[Precio]]*Inventario8[[#This Row],[Existencia]]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D9C62BB-735D-461E-BFFB-FEA40A78EB86}" name="Inventario7" displayName="Inventario7" ref="A1:G40" totalsRowShown="0" headerRowDxfId="80" dataDxfId="79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80365315-7B1D-457F-9F38-057B1BB915DB}" name="Codigo" dataDxfId="78"/>
    <tableColumn id="2" xr3:uid="{B67D470A-8FD3-46C2-BF3C-3AA0EDCF1435}" name="Producto" dataDxfId="77"/>
    <tableColumn id="3" xr3:uid="{DFA2F9A8-6C0A-44FD-AEA1-3A509A4DC6DD}" name="Existencia" dataDxfId="76"/>
    <tableColumn id="5" xr3:uid="{96C0A5A7-A582-47D0-BF25-5C464E4F9617}" name="Cantidad de unidades por bulto" dataDxfId="75"/>
    <tableColumn id="7" xr3:uid="{75E44B0F-2D36-4368-91B6-843E2D34C3D5}" name="Precio por bulto ($)" dataDxfId="74"/>
    <tableColumn id="14" xr3:uid="{0148D138-9D91-4A01-B694-4931B05CCD0D}" name="Precio" dataDxfId="73">
      <calculatedColumnFormula>IF(Inventario7[[#This Row],[Cantidad de unidades por bulto]]=0, 0, Inventario7[[#This Row],[Precio por bulto ($)]]/Inventario7[[#This Row],[Cantidad de unidades por bulto]])</calculatedColumnFormula>
    </tableColumn>
    <tableColumn id="4" xr3:uid="{BD5DB119-0787-4B95-9ABB-4688E713A9A1}" name="Importe" dataDxfId="72">
      <calculatedColumnFormula>Inventario7[[#This Row],[Precio]]*Inventario7[[#This Row],[Existencia]]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B4AAE0-EF0D-4EC2-9170-33E7335CB358}" name="Inventario6" displayName="Inventario6" ref="A1:G40" totalsRowShown="0" headerRowDxfId="71" dataDxfId="70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80A69C5F-3E94-4FCD-BE63-D84746E5BEE4}" name="Codigo" dataDxfId="69"/>
    <tableColumn id="2" xr3:uid="{A489C2A3-4712-414D-B50E-2040210179D4}" name="Producto" dataDxfId="68"/>
    <tableColumn id="3" xr3:uid="{69DA32DC-11A8-44E9-B2A9-1B03B9C0C67C}" name="Existencia" dataDxfId="67"/>
    <tableColumn id="5" xr3:uid="{C72518DF-81D5-400F-BCE3-13BF989DA5B1}" name="Cantidad de unidades por bulto" dataDxfId="66"/>
    <tableColumn id="7" xr3:uid="{FD96E3C1-560E-45E4-A464-7CEE7C958D08}" name="Precio por bulto ($)" dataDxfId="65"/>
    <tableColumn id="14" xr3:uid="{C3035158-7B0F-40C1-9681-E052288FBBDA}" name="Precio" dataDxfId="64">
      <calculatedColumnFormula>IF(Inventario6[[#This Row],[Cantidad de unidades por bulto]]=0, 0, Inventario6[[#This Row],[Precio por bulto ($)]]/Inventario6[[#This Row],[Cantidad de unidades por bulto]])</calculatedColumnFormula>
    </tableColumn>
    <tableColumn id="4" xr3:uid="{6A9EFC9F-0C23-4D05-828B-112490F9ADF9}" name="Importe" dataDxfId="63">
      <calculatedColumnFormula>Inventario6[[#This Row],[Precio]]*Inventario6[[#This Row],[Existencia]]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7B26D7-327F-4428-9376-D0741F913332}" name="Inventario5" displayName="Inventario5" ref="A1:G40" totalsRowShown="0" headerRowDxfId="62" dataDxfId="61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F3692E28-9538-4F23-8E67-5E6E47072F5A}" name="Codigo" dataDxfId="60"/>
    <tableColumn id="2" xr3:uid="{6AC56F30-01A2-4713-AEA0-5282FA325A22}" name="Producto" dataDxfId="59"/>
    <tableColumn id="3" xr3:uid="{D255C125-77EA-4D45-AE39-C945969F74E4}" name="Existencia" dataDxfId="58"/>
    <tableColumn id="5" xr3:uid="{9954ACA4-63E2-43DB-A29F-34F93A5B6B68}" name="Cantidad de unidades por bulto" dataDxfId="57"/>
    <tableColumn id="7" xr3:uid="{D7C3752C-CE50-40D5-A9FB-49887A484029}" name="Precio por bulto ($)" dataDxfId="56"/>
    <tableColumn id="14" xr3:uid="{3FB78692-AD20-44AB-83CA-31C72ED1540E}" name="Precio" dataDxfId="55">
      <calculatedColumnFormula>IF(Inventario5[[#This Row],[Cantidad de unidades por bulto]]=0, 0, Inventario5[[#This Row],[Precio por bulto ($)]]/Inventario5[[#This Row],[Cantidad de unidades por bulto]])</calculatedColumnFormula>
    </tableColumn>
    <tableColumn id="4" xr3:uid="{B3BED66C-A757-4101-8AA7-72B45245FF5F}" name="Importe" dataDxfId="54">
      <calculatedColumnFormula>Inventario5[[#This Row],[Precio]]*Inventario5[[#This Row],[Existencia]]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A2D912-7F34-4222-83B5-45E70737B057}" name="Inventario3" displayName="Inventario3" ref="A1:G40" totalsRowShown="0" headerRowDxfId="53" dataDxfId="52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6B23200F-6A2C-4943-BCA5-9E3F9C6A49E1}" name="Codigo" dataDxfId="51"/>
    <tableColumn id="2" xr3:uid="{2CB2F2B4-2E62-4DDE-A3B2-30752AF10CBD}" name="Producto" dataDxfId="50"/>
    <tableColumn id="3" xr3:uid="{F73D93CC-7539-487B-9DF8-664665E9D84C}" name="Existencia" dataDxfId="49"/>
    <tableColumn id="5" xr3:uid="{5902EE07-21F9-4C14-AA63-087017A4F91A}" name="Cantidad de unidades por bulto" dataDxfId="48"/>
    <tableColumn id="7" xr3:uid="{9DB6DDB3-BA01-49A8-A0D2-3105AF80ABBC}" name="Precio por bulto ($)" dataDxfId="47"/>
    <tableColumn id="14" xr3:uid="{9815FA1E-0395-462A-B5B7-99B6D84D2878}" name="Precio" dataDxfId="46">
      <calculatedColumnFormula>IF(Inventario3[[#This Row],[Cantidad de unidades por bulto]]=0, 0, Inventario3[[#This Row],[Precio por bulto ($)]]/Inventario3[[#This Row],[Cantidad de unidades por bulto]])</calculatedColumnFormula>
    </tableColumn>
    <tableColumn id="4" xr3:uid="{D9DF410D-D12F-4335-843F-AF9607EB6DC9}" name="Importe" dataDxfId="45">
      <calculatedColumnFormula>Inventario3[[#This Row],[Precio]]*Inventario3[[#This Row],[Existencia]]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4D4797-C189-4D52-9126-A3DEBC747949}" name="Inventario2" displayName="Inventario2" ref="A1:G40" totalsRowShown="0" headerRowDxfId="44" dataDxfId="43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1B68987A-A9C4-465B-B7B9-130A22C444D6}" name="Codigo" dataDxfId="42"/>
    <tableColumn id="2" xr3:uid="{65DE0BAA-2326-4FB3-94AE-B681BC467A7F}" name="Producto" dataDxfId="41"/>
    <tableColumn id="3" xr3:uid="{903B0E74-6F6A-4D2F-9BCB-DD269F898D69}" name="Existencia" dataDxfId="40"/>
    <tableColumn id="5" xr3:uid="{062875C0-517F-4450-80CC-7609190CB82B}" name="Cantidad de unidades por bulto" dataDxfId="39"/>
    <tableColumn id="7" xr3:uid="{16A8BBB2-3770-41A0-9771-86FA4C56B4A7}" name="Precio por bulto ($)" dataDxfId="38"/>
    <tableColumn id="14" xr3:uid="{634297A8-F5F5-46E2-9F46-C89195FDDD7C}" name="Precio" dataDxfId="37">
      <calculatedColumnFormula>IF(Inventario2[[#This Row],[Cantidad de unidades por bulto]]=0, 0, Inventario2[[#This Row],[Precio por bulto ($)]]/Inventario2[[#This Row],[Cantidad de unidades por bulto]])</calculatedColumnFormula>
    </tableColumn>
    <tableColumn id="4" xr3:uid="{37B071C1-719A-4D4A-A001-1B2D66F443F8}" name="Importe" dataDxfId="36">
      <calculatedColumnFormula>Inventario2[[#This Row],[Precio]]*Inventario2[[#This Row],[Existencia]]</calculatedColumnFormula>
    </tableColumn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Inventario" displayName="Inventario" ref="A1:G40" totalsRowShown="0" headerRowDxfId="35" dataDxfId="34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B1676FDF-EB41-4481-ABCF-02D8FCF7C188}" name="Codigo" dataDxfId="33"/>
    <tableColumn id="2" xr3:uid="{00000000-0010-0000-0000-000002000000}" name="Producto" dataDxfId="32"/>
    <tableColumn id="3" xr3:uid="{00000000-0010-0000-0000-000003000000}" name="Existencia" dataDxfId="31"/>
    <tableColumn id="5" xr3:uid="{00000000-0010-0000-0000-000005000000}" name="Cantidad de unidades por bulto" dataDxfId="30"/>
    <tableColumn id="7" xr3:uid="{00000000-0010-0000-0000-000007000000}" name="Precio por bulto ($)" dataDxfId="29"/>
    <tableColumn id="14" xr3:uid="{00000000-0010-0000-0000-00000E000000}" name="Precio" dataDxfId="28">
      <calculatedColumnFormula>IF(Inventario[[#This Row],[Cantidad de unidades por bulto]]=0, 0, Inventario[[#This Row],[Precio por bulto ($)]]/Inventario[[#This Row],[Cantidad de unidades por bulto]])</calculatedColumnFormula>
    </tableColumn>
    <tableColumn id="4" xr3:uid="{C4995E03-1D92-4FB2-BE84-15685B4E31F8}" name="Importe" dataDxfId="27">
      <calculatedColumnFormula>Inventario[[#This Row],[Precio]]*Inventario[[#This Row],[Existencia]]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F05ED5E-C988-4BE3-96F2-4327A61E1871}" name="Inventario32" displayName="Inventario32" ref="A1:G40" totalsRowShown="0" headerRowDxfId="26" dataDxfId="25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20EBFFC1-CA7A-460F-9E5E-EF632434F0E1}" name="Codigo" dataDxfId="24"/>
    <tableColumn id="2" xr3:uid="{6B5976AE-347D-43FA-B830-E210714527F0}" name="Producto" dataDxfId="23"/>
    <tableColumn id="3" xr3:uid="{5E3EFE00-ED8C-4287-A433-1D56F495E71F}" name="Existencia" dataDxfId="22"/>
    <tableColumn id="5" xr3:uid="{F5184693-5B75-4546-B9CB-AC63CF8DEE85}" name="Cantidad de unidades por bulto" dataDxfId="21"/>
    <tableColumn id="7" xr3:uid="{07DF259C-8ED3-4F54-BDA7-723609760794}" name="Precio por bulto ($)" dataDxfId="20"/>
    <tableColumn id="14" xr3:uid="{ABF96DA5-D0CF-4CB8-A955-2D750BE929D8}" name="Precio" dataDxfId="19">
      <calculatedColumnFormula>IF(Inventario32[[#This Row],[Cantidad de unidades por bulto]]=0, 0, Inventario32[[#This Row],[Precio por bulto ($)]]/Inventario32[[#This Row],[Cantidad de unidades por bulto]])</calculatedColumnFormula>
    </tableColumn>
    <tableColumn id="4" xr3:uid="{A1C1F0F4-F2AF-4C2B-91CA-776E3C8B1039}" name="Importe" dataDxfId="18">
      <calculatedColumnFormula>Inventario32[[#This Row],[Precio]]*Inventario32[[#This Row],[Existencia]]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A7E1B0B-BA61-465E-9BCB-BE491D88739C}" name="Inventario31" displayName="Inventario31" ref="A1:G40" totalsRowShown="0" headerRowDxfId="17" dataDxfId="16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3E925B63-63F1-4726-BCA5-246E2FA7CB72}" name="Codigo" dataDxfId="15"/>
    <tableColumn id="2" xr3:uid="{72ED74D0-2356-4B24-A34A-7CE7533CD3C2}" name="Producto" dataDxfId="14"/>
    <tableColumn id="3" xr3:uid="{73BDE870-5EB6-432B-B34F-ABE2FFC983B5}" name="Existencia" dataDxfId="13"/>
    <tableColumn id="5" xr3:uid="{D6FFBA36-0702-4100-B178-BFC10B624360}" name="Cantidad de unidades por bulto" dataDxfId="12"/>
    <tableColumn id="7" xr3:uid="{90763B92-835A-4F52-B85B-01001DBE04ED}" name="Precio por bulto ($)" dataDxfId="11"/>
    <tableColumn id="14" xr3:uid="{7ACF2192-E0C0-414E-AD19-C4082D4A5518}" name="Precio" dataDxfId="10">
      <calculatedColumnFormula>IF(Inventario31[[#This Row],[Cantidad de unidades por bulto]]=0, 0, Inventario31[[#This Row],[Precio por bulto ($)]]/Inventario31[[#This Row],[Cantidad de unidades por bulto]])</calculatedColumnFormula>
    </tableColumn>
    <tableColumn id="4" xr3:uid="{DE9E78C5-293D-46C8-98A2-F1780A7A7749}" name="Importe" dataDxfId="9">
      <calculatedColumnFormula>Inventario31[[#This Row],[Precio]]*Inventario31[[#This Row],[Existencia]]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CCE67172-B461-4709-AD4E-8764748429D9}" name="Inventario30" displayName="Inventario30" ref="A1:G40" totalsRowShown="0" headerRowDxfId="8" dataDxfId="7">
  <autoFilter ref="A1:G40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40">
    <sortCondition ref="B1:B40"/>
  </sortState>
  <tableColumns count="7">
    <tableColumn id="1" xr3:uid="{C4ECE0E0-5C9F-4685-8D37-C76ABB52FC7F}" name="Codigo" dataDxfId="6"/>
    <tableColumn id="2" xr3:uid="{BE10B1DD-7E23-40FE-B044-657720006284}" name="Producto" dataDxfId="5"/>
    <tableColumn id="3" xr3:uid="{9E25C591-DBBB-474E-B505-1A7E3E77F94B}" name="Existencia" dataDxfId="4"/>
    <tableColumn id="5" xr3:uid="{14EF2739-8810-4FE3-8179-AFB1257A455B}" name="Cantidad de unidades por bulto" dataDxfId="3"/>
    <tableColumn id="7" xr3:uid="{E8FE821F-757C-4A2F-A757-8574942CDF60}" name="Precio por bulto ($)" dataDxfId="2"/>
    <tableColumn id="14" xr3:uid="{B9573B44-31EE-4BE6-BE93-9EED5267A9A2}" name="Precio" dataDxfId="1">
      <calculatedColumnFormula>IF(Inventario30[[#This Row],[Cantidad de unidades por bulto]]=0, 0, Inventario30[[#This Row],[Precio por bulto ($)]]/Inventario30[[#This Row],[Cantidad de unidades por bulto]])</calculatedColumnFormula>
    </tableColumn>
    <tableColumn id="4" xr3:uid="{9DA46987-5FED-40CA-94AE-221CEC470FD8}" name="Importe" dataDxfId="0">
      <calculatedColumnFormula>Inventario30[[#This Row],[Precio]]*Inventario30[[#This Row],[Existencia]]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4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showGridLines="0" tabSelected="1" workbookViewId="0"/>
  </sheetViews>
  <sheetFormatPr defaultColWidth="9.109375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58C6F-7670-4775-8488-809D3612B902}">
  <sheetPr codeName="Hoja44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SUM(Inventario44[Importe])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IF(Inventario44[[#This Row],[Cantidad de unidades por bulto]]=0, 0, Inventario44[[#This Row],[Precio por bulto ($)]]/Inventario44[[#This Row],[Cantidad de unidades por bulto]])</f>
        <v>1.25</v>
      </c>
      <c r="G2" s="9">
        <f>Inventario44[[#This Row],[Precio]]*Inventario44[[#This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IF(Inventario44[[#This Row],[Cantidad de unidades por bulto]]=0, 0, Inventario44[[#This Row],[Precio por bulto ($)]]/Inventario44[[#This Row],[Cantidad de unidades por bulto]])</f>
        <v>1.2250000000000001</v>
      </c>
      <c r="G3" s="9">
        <f>Inventario44[[#This Row],[Precio]]*Inventario44[[#This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IF(Inventario44[[#This Row],[Cantidad de unidades por bulto]]=0, 0, Inventario44[[#This Row],[Precio por bulto ($)]]/Inventario44[[#This Row],[Cantidad de unidades por bulto]])</f>
        <v>0.81</v>
      </c>
      <c r="G4" s="9">
        <f>Inventario44[[#This Row],[Precio]]*Inventario44[[#This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IF(Inventario44[[#This Row],[Cantidad de unidades por bulto]]=0, 0, Inventario44[[#This Row],[Precio por bulto ($)]]/Inventario44[[#This Row],[Cantidad de unidades por bulto]])</f>
        <v>0.8</v>
      </c>
      <c r="G5" s="9">
        <f>Inventario44[[#This Row],[Precio]]*Inventario44[[#This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IF(Inventario44[[#This Row],[Cantidad de unidades por bulto]]=0, 0, Inventario44[[#This Row],[Precio por bulto ($)]]/Inventario44[[#This Row],[Cantidad de unidades por bulto]])</f>
        <v>0.81</v>
      </c>
      <c r="G6" s="9">
        <f>Inventario44[[#This Row],[Precio]]*Inventario44[[#This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IF(Inventario44[[#This Row],[Cantidad de unidades por bulto]]=0, 0, Inventario44[[#This Row],[Precio por bulto ($)]]/Inventario44[[#This Row],[Cantidad de unidades por bulto]])</f>
        <v>0.8773333333333333</v>
      </c>
      <c r="G7" s="9">
        <f>Inventario44[[#This Row],[Precio]]*Inventario44[[#This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IF(Inventario44[[#This Row],[Cantidad de unidades por bulto]]=0, 0, Inventario44[[#This Row],[Precio por bulto ($)]]/Inventario44[[#This Row],[Cantidad de unidades por bulto]])</f>
        <v>0.75</v>
      </c>
      <c r="G8" s="9">
        <f>Inventario44[[#This Row],[Precio]]*Inventario44[[#This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IF(Inventario44[[#This Row],[Cantidad de unidades por bulto]]=0, 0, Inventario44[[#This Row],[Precio por bulto ($)]]/Inventario44[[#This Row],[Cantidad de unidades por bulto]])</f>
        <v>0.75</v>
      </c>
      <c r="G9" s="9">
        <f>Inventario44[[#This Row],[Precio]]*Inventario44[[#This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IF(Inventario44[[#This Row],[Cantidad de unidades por bulto]]=0, 0, Inventario44[[#This Row],[Precio por bulto ($)]]/Inventario44[[#This Row],[Cantidad de unidades por bulto]])</f>
        <v>1.25</v>
      </c>
      <c r="G10" s="9">
        <f>Inventario44[[#This Row],[Precio]]*Inventario44[[#This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IF(Inventario44[[#This Row],[Cantidad de unidades por bulto]]=0, 0, Inventario44[[#This Row],[Precio por bulto ($)]]/Inventario44[[#This Row],[Cantidad de unidades por bulto]])</f>
        <v>11</v>
      </c>
      <c r="G11" s="9">
        <f>Inventario44[[#This Row],[Precio]]*Inventario44[[#This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IF(Inventario44[[#This Row],[Cantidad de unidades por bulto]]=0, 0, Inventario44[[#This Row],[Precio por bulto ($)]]/Inventario44[[#This Row],[Cantidad de unidades por bulto]])</f>
        <v>11</v>
      </c>
      <c r="G12" s="9">
        <f>Inventario44[[#This Row],[Precio]]*Inventario44[[#This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IF(Inventario44[[#This Row],[Cantidad de unidades por bulto]]=0, 0, Inventario44[[#This Row],[Precio por bulto ($)]]/Inventario44[[#This Row],[Cantidad de unidades por bulto]])</f>
        <v>1.25</v>
      </c>
      <c r="G13" s="9">
        <f>Inventario44[[#This Row],[Precio]]*Inventario44[[#This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IF(Inventario44[[#This Row],[Cantidad de unidades por bulto]]=0, 0, Inventario44[[#This Row],[Precio por bulto ($)]]/Inventario44[[#This Row],[Cantidad de unidades por bulto]])</f>
        <v>1.125</v>
      </c>
      <c r="G14" s="9">
        <f>Inventario44[[#This Row],[Precio]]*Inventario44[[#This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IF(Inventario44[[#This Row],[Cantidad de unidades por bulto]]=0, 0, Inventario44[[#This Row],[Precio por bulto ($)]]/Inventario44[[#This Row],[Cantidad de unidades por bulto]])</f>
        <v>0.69916666666666671</v>
      </c>
      <c r="G15" s="9">
        <f>Inventario44[[#This Row],[Precio]]*Inventario44[[#This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IF(Inventario44[[#This Row],[Cantidad de unidades por bulto]]=0, 0, Inventario44[[#This Row],[Precio por bulto ($)]]/Inventario44[[#This Row],[Cantidad de unidades por bulto]])</f>
        <v>1.125</v>
      </c>
      <c r="G16" s="9">
        <f>Inventario44[[#This Row],[Precio]]*Inventario44[[#This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IF(Inventario44[[#This Row],[Cantidad de unidades por bulto]]=0, 0, Inventario44[[#This Row],[Precio por bulto ($)]]/Inventario44[[#This Row],[Cantidad de unidades por bulto]])</f>
        <v>1.125</v>
      </c>
      <c r="G17" s="9">
        <f>Inventario44[[#This Row],[Precio]]*Inventario44[[#This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IF(Inventario44[[#This Row],[Cantidad de unidades por bulto]]=0, 0, Inventario44[[#This Row],[Precio por bulto ($)]]/Inventario44[[#This Row],[Cantidad de unidades por bulto]])</f>
        <v>0.63461538461538458</v>
      </c>
      <c r="G18" s="9">
        <f>Inventario44[[#This Row],[Precio]]*Inventario44[[#This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IF(Inventario44[[#This Row],[Cantidad de unidades por bulto]]=0, 0, Inventario44[[#This Row],[Precio por bulto ($)]]/Inventario44[[#This Row],[Cantidad de unidades por bulto]])</f>
        <v>0.10416666666666667</v>
      </c>
      <c r="G19" s="9">
        <f>Inventario44[[#This Row],[Precio]]*Inventario44[[#This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IF(Inventario44[[#This Row],[Cantidad de unidades por bulto]]=0, 0, Inventario44[[#This Row],[Precio por bulto ($)]]/Inventario44[[#This Row],[Cantidad de unidades por bulto]])</f>
        <v>2.6</v>
      </c>
      <c r="G20" s="9">
        <f>Inventario44[[#This Row],[Precio]]*Inventario44[[#This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IF(Inventario44[[#This Row],[Cantidad de unidades por bulto]]=0, 0, Inventario44[[#This Row],[Precio por bulto ($)]]/Inventario44[[#This Row],[Cantidad de unidades por bulto]])</f>
        <v>0.9</v>
      </c>
      <c r="G21" s="9">
        <f>Inventario44[[#This Row],[Precio]]*Inventario44[[#This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IF(Inventario44[[#This Row],[Cantidad de unidades por bulto]]=0, 0, Inventario44[[#This Row],[Precio por bulto ($)]]/Inventario44[[#This Row],[Cantidad de unidades por bulto]])</f>
        <v>45</v>
      </c>
      <c r="G22" s="9">
        <f>Inventario44[[#This Row],[Precio]]*Inventario44[[#This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IF(Inventario44[[#This Row],[Cantidad de unidades por bulto]]=0, 0, Inventario44[[#This Row],[Precio por bulto ($)]]/Inventario44[[#This Row],[Cantidad de unidades por bulto]])</f>
        <v>1.6</v>
      </c>
      <c r="G23" s="9">
        <f>Inventario44[[#This Row],[Precio]]*Inventario44[[#This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IF(Inventario44[[#This Row],[Cantidad de unidades por bulto]]=0, 0, Inventario44[[#This Row],[Precio por bulto ($)]]/Inventario44[[#This Row],[Cantidad de unidades por bulto]])</f>
        <v>0.22</v>
      </c>
      <c r="G24" s="9">
        <f>Inventario44[[#This Row],[Precio]]*Inventario44[[#This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IF(Inventario44[[#This Row],[Cantidad de unidades por bulto]]=0, 0, Inventario44[[#This Row],[Precio por bulto ($)]]/Inventario44[[#This Row],[Cantidad de unidades por bulto]])</f>
        <v>0.35166666666666663</v>
      </c>
      <c r="G25" s="9">
        <f>Inventario44[[#This Row],[Precio]]*Inventario44[[#This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IF(Inventario44[[#This Row],[Cantidad de unidades por bulto]]=0, 0, Inventario44[[#This Row],[Precio por bulto ($)]]/Inventario44[[#This Row],[Cantidad de unidades por bulto]])</f>
        <v>1.8</v>
      </c>
      <c r="G26" s="9">
        <f>Inventario44[[#This Row],[Precio]]*Inventario44[[#This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IF(Inventario44[[#This Row],[Cantidad de unidades por bulto]]=0, 0, Inventario44[[#This Row],[Precio por bulto ($)]]/Inventario44[[#This Row],[Cantidad de unidades por bulto]])</f>
        <v>3.625</v>
      </c>
      <c r="G27" s="9">
        <f>Inventario44[[#This Row],[Precio]]*Inventario44[[#This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IF(Inventario44[[#This Row],[Cantidad de unidades por bulto]]=0, 0, Inventario44[[#This Row],[Precio por bulto ($)]]/Inventario44[[#This Row],[Cantidad de unidades por bulto]])</f>
        <v>0.52083333333333337</v>
      </c>
      <c r="G28" s="9">
        <f>Inventario44[[#This Row],[Precio]]*Inventario44[[#This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IF(Inventario44[[#This Row],[Cantidad de unidades por bulto]]=0, 0, Inventario44[[#This Row],[Precio por bulto ($)]]/Inventario44[[#This Row],[Cantidad de unidades por bulto]])</f>
        <v>29</v>
      </c>
      <c r="G29" s="9">
        <f>Inventario44[[#This Row],[Precio]]*Inventario44[[#This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IF(Inventario44[[#This Row],[Cantidad de unidades por bulto]]=0, 0, Inventario44[[#This Row],[Precio por bulto ($)]]/Inventario44[[#This Row],[Cantidad de unidades por bulto]])</f>
        <v>0.52083333333333337</v>
      </c>
      <c r="G30" s="9">
        <f>Inventario44[[#This Row],[Precio]]*Inventario44[[#This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IF(Inventario44[[#This Row],[Cantidad de unidades por bulto]]=0, 0, Inventario44[[#This Row],[Precio por bulto ($)]]/Inventario44[[#This Row],[Cantidad de unidades por bulto]])</f>
        <v>0.375</v>
      </c>
      <c r="G31" s="9">
        <f>Inventario44[[#This Row],[Precio]]*Inventario44[[#This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IF(Inventario44[[#This Row],[Cantidad de unidades por bulto]]=0, 0, Inventario44[[#This Row],[Precio por bulto ($)]]/Inventario44[[#This Row],[Cantidad de unidades por bulto]])</f>
        <v>7.05</v>
      </c>
      <c r="G32" s="9">
        <f>Inventario44[[#This Row],[Precio]]*Inventario44[[#This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IF(Inventario44[[#This Row],[Cantidad de unidades por bulto]]=0, 0, Inventario44[[#This Row],[Precio por bulto ($)]]/Inventario44[[#This Row],[Cantidad de unidades por bulto]])</f>
        <v>7.05</v>
      </c>
      <c r="G33" s="9">
        <f>Inventario44[[#This Row],[Precio]]*Inventario44[[#This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IF(Inventario44[[#This Row],[Cantidad de unidades por bulto]]=0, 0, Inventario44[[#This Row],[Precio por bulto ($)]]/Inventario44[[#This Row],[Cantidad de unidades por bulto]])</f>
        <v>7.05</v>
      </c>
      <c r="G34" s="9">
        <f>Inventario44[[#This Row],[Precio]]*Inventario44[[#This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IF(Inventario44[[#This Row],[Cantidad de unidades por bulto]]=0, 0, Inventario44[[#This Row],[Precio por bulto ($)]]/Inventario44[[#This Row],[Cantidad de unidades por bulto]])</f>
        <v>1.95</v>
      </c>
      <c r="G35" s="9">
        <f>Inventario44[[#This Row],[Precio]]*Inventario44[[#This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IF(Inventario44[[#This Row],[Cantidad de unidades por bulto]]=0, 0, Inventario44[[#This Row],[Precio por bulto ($)]]/Inventario44[[#This Row],[Cantidad de unidades por bulto]])</f>
        <v>0.3</v>
      </c>
      <c r="G36" s="9">
        <f>Inventario44[[#This Row],[Precio]]*Inventario44[[#This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IF(Inventario44[[#This Row],[Cantidad de unidades por bulto]]=0, 0, Inventario44[[#This Row],[Precio por bulto ($)]]/Inventario44[[#This Row],[Cantidad de unidades por bulto]])</f>
        <v>13.5</v>
      </c>
      <c r="G37" s="9">
        <f>Inventario44[[#This Row],[Precio]]*Inventario44[[#This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IF(Inventario44[[#This Row],[Cantidad de unidades por bulto]]=0, 0, Inventario44[[#This Row],[Precio por bulto ($)]]/Inventario44[[#This Row],[Cantidad de unidades por bulto]])</f>
        <v>11</v>
      </c>
      <c r="G38" s="9">
        <f>Inventario44[[#This Row],[Precio]]*Inventario44[[#This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IF(Inventario44[[#This Row],[Cantidad de unidades por bulto]]=0, 0, Inventario44[[#This Row],[Precio por bulto ($)]]/Inventario44[[#This Row],[Cantidad de unidades por bulto]])</f>
        <v>0.5625</v>
      </c>
      <c r="G39" s="9">
        <f>Inventario44[[#This Row],[Precio]]*Inventario44[[#This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IF(Inventario44[[#This Row],[Cantidad de unidades por bulto]]=0, 0, Inventario44[[#This Row],[Precio por bulto ($)]]/Inventario44[[#This Row],[Cantidad de unidades por bulto]])</f>
        <v>2</v>
      </c>
      <c r="G40" s="9">
        <f>Inventario44[[#This Row],[Precio]]*Inventario44[[#This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A7D46-57DF-417B-A41C-02603E45C5C3}">
  <sheetPr codeName="Hoja43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SUM(Inventario43[Importe])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IF(Inventario43[[#This Row],[Cantidad de unidades por bulto]]=0, 0, Inventario43[[#This Row],[Precio por bulto ($)]]/Inventario43[[#This Row],[Cantidad de unidades por bulto]])</f>
        <v>1.25</v>
      </c>
      <c r="G2" s="9">
        <f>Inventario43[[#This Row],[Precio]]*Inventario43[[#This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IF(Inventario43[[#This Row],[Cantidad de unidades por bulto]]=0, 0, Inventario43[[#This Row],[Precio por bulto ($)]]/Inventario43[[#This Row],[Cantidad de unidades por bulto]])</f>
        <v>1.2250000000000001</v>
      </c>
      <c r="G3" s="9">
        <f>Inventario43[[#This Row],[Precio]]*Inventario43[[#This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IF(Inventario43[[#This Row],[Cantidad de unidades por bulto]]=0, 0, Inventario43[[#This Row],[Precio por bulto ($)]]/Inventario43[[#This Row],[Cantidad de unidades por bulto]])</f>
        <v>0.81</v>
      </c>
      <c r="G4" s="9">
        <f>Inventario43[[#This Row],[Precio]]*Inventario43[[#This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IF(Inventario43[[#This Row],[Cantidad de unidades por bulto]]=0, 0, Inventario43[[#This Row],[Precio por bulto ($)]]/Inventario43[[#This Row],[Cantidad de unidades por bulto]])</f>
        <v>0.8</v>
      </c>
      <c r="G5" s="9">
        <f>Inventario43[[#This Row],[Precio]]*Inventario43[[#This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IF(Inventario43[[#This Row],[Cantidad de unidades por bulto]]=0, 0, Inventario43[[#This Row],[Precio por bulto ($)]]/Inventario43[[#This Row],[Cantidad de unidades por bulto]])</f>
        <v>0.81</v>
      </c>
      <c r="G6" s="9">
        <f>Inventario43[[#This Row],[Precio]]*Inventario43[[#This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IF(Inventario43[[#This Row],[Cantidad de unidades por bulto]]=0, 0, Inventario43[[#This Row],[Precio por bulto ($)]]/Inventario43[[#This Row],[Cantidad de unidades por bulto]])</f>
        <v>0.8773333333333333</v>
      </c>
      <c r="G7" s="9">
        <f>Inventario43[[#This Row],[Precio]]*Inventario43[[#This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IF(Inventario43[[#This Row],[Cantidad de unidades por bulto]]=0, 0, Inventario43[[#This Row],[Precio por bulto ($)]]/Inventario43[[#This Row],[Cantidad de unidades por bulto]])</f>
        <v>0.75</v>
      </c>
      <c r="G8" s="9">
        <f>Inventario43[[#This Row],[Precio]]*Inventario43[[#This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IF(Inventario43[[#This Row],[Cantidad de unidades por bulto]]=0, 0, Inventario43[[#This Row],[Precio por bulto ($)]]/Inventario43[[#This Row],[Cantidad de unidades por bulto]])</f>
        <v>0.75</v>
      </c>
      <c r="G9" s="9">
        <f>Inventario43[[#This Row],[Precio]]*Inventario43[[#This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IF(Inventario43[[#This Row],[Cantidad de unidades por bulto]]=0, 0, Inventario43[[#This Row],[Precio por bulto ($)]]/Inventario43[[#This Row],[Cantidad de unidades por bulto]])</f>
        <v>1.25</v>
      </c>
      <c r="G10" s="9">
        <f>Inventario43[[#This Row],[Precio]]*Inventario43[[#This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IF(Inventario43[[#This Row],[Cantidad de unidades por bulto]]=0, 0, Inventario43[[#This Row],[Precio por bulto ($)]]/Inventario43[[#This Row],[Cantidad de unidades por bulto]])</f>
        <v>11</v>
      </c>
      <c r="G11" s="9">
        <f>Inventario43[[#This Row],[Precio]]*Inventario43[[#This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IF(Inventario43[[#This Row],[Cantidad de unidades por bulto]]=0, 0, Inventario43[[#This Row],[Precio por bulto ($)]]/Inventario43[[#This Row],[Cantidad de unidades por bulto]])</f>
        <v>11</v>
      </c>
      <c r="G12" s="9">
        <f>Inventario43[[#This Row],[Precio]]*Inventario43[[#This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IF(Inventario43[[#This Row],[Cantidad de unidades por bulto]]=0, 0, Inventario43[[#This Row],[Precio por bulto ($)]]/Inventario43[[#This Row],[Cantidad de unidades por bulto]])</f>
        <v>1.25</v>
      </c>
      <c r="G13" s="9">
        <f>Inventario43[[#This Row],[Precio]]*Inventario43[[#This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IF(Inventario43[[#This Row],[Cantidad de unidades por bulto]]=0, 0, Inventario43[[#This Row],[Precio por bulto ($)]]/Inventario43[[#This Row],[Cantidad de unidades por bulto]])</f>
        <v>1.125</v>
      </c>
      <c r="G14" s="9">
        <f>Inventario43[[#This Row],[Precio]]*Inventario43[[#This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IF(Inventario43[[#This Row],[Cantidad de unidades por bulto]]=0, 0, Inventario43[[#This Row],[Precio por bulto ($)]]/Inventario43[[#This Row],[Cantidad de unidades por bulto]])</f>
        <v>0.69916666666666671</v>
      </c>
      <c r="G15" s="9">
        <f>Inventario43[[#This Row],[Precio]]*Inventario43[[#This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IF(Inventario43[[#This Row],[Cantidad de unidades por bulto]]=0, 0, Inventario43[[#This Row],[Precio por bulto ($)]]/Inventario43[[#This Row],[Cantidad de unidades por bulto]])</f>
        <v>1.125</v>
      </c>
      <c r="G16" s="9">
        <f>Inventario43[[#This Row],[Precio]]*Inventario43[[#This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IF(Inventario43[[#This Row],[Cantidad de unidades por bulto]]=0, 0, Inventario43[[#This Row],[Precio por bulto ($)]]/Inventario43[[#This Row],[Cantidad de unidades por bulto]])</f>
        <v>1.125</v>
      </c>
      <c r="G17" s="9">
        <f>Inventario43[[#This Row],[Precio]]*Inventario43[[#This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IF(Inventario43[[#This Row],[Cantidad de unidades por bulto]]=0, 0, Inventario43[[#This Row],[Precio por bulto ($)]]/Inventario43[[#This Row],[Cantidad de unidades por bulto]])</f>
        <v>0.63461538461538458</v>
      </c>
      <c r="G18" s="9">
        <f>Inventario43[[#This Row],[Precio]]*Inventario43[[#This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IF(Inventario43[[#This Row],[Cantidad de unidades por bulto]]=0, 0, Inventario43[[#This Row],[Precio por bulto ($)]]/Inventario43[[#This Row],[Cantidad de unidades por bulto]])</f>
        <v>0.10416666666666667</v>
      </c>
      <c r="G19" s="9">
        <f>Inventario43[[#This Row],[Precio]]*Inventario43[[#This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IF(Inventario43[[#This Row],[Cantidad de unidades por bulto]]=0, 0, Inventario43[[#This Row],[Precio por bulto ($)]]/Inventario43[[#This Row],[Cantidad de unidades por bulto]])</f>
        <v>2.6</v>
      </c>
      <c r="G20" s="9">
        <f>Inventario43[[#This Row],[Precio]]*Inventario43[[#This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IF(Inventario43[[#This Row],[Cantidad de unidades por bulto]]=0, 0, Inventario43[[#This Row],[Precio por bulto ($)]]/Inventario43[[#This Row],[Cantidad de unidades por bulto]])</f>
        <v>0.9</v>
      </c>
      <c r="G21" s="9">
        <f>Inventario43[[#This Row],[Precio]]*Inventario43[[#This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IF(Inventario43[[#This Row],[Cantidad de unidades por bulto]]=0, 0, Inventario43[[#This Row],[Precio por bulto ($)]]/Inventario43[[#This Row],[Cantidad de unidades por bulto]])</f>
        <v>45</v>
      </c>
      <c r="G22" s="9">
        <f>Inventario43[[#This Row],[Precio]]*Inventario43[[#This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IF(Inventario43[[#This Row],[Cantidad de unidades por bulto]]=0, 0, Inventario43[[#This Row],[Precio por bulto ($)]]/Inventario43[[#This Row],[Cantidad de unidades por bulto]])</f>
        <v>1.6</v>
      </c>
      <c r="G23" s="9">
        <f>Inventario43[[#This Row],[Precio]]*Inventario43[[#This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IF(Inventario43[[#This Row],[Cantidad de unidades por bulto]]=0, 0, Inventario43[[#This Row],[Precio por bulto ($)]]/Inventario43[[#This Row],[Cantidad de unidades por bulto]])</f>
        <v>0.22</v>
      </c>
      <c r="G24" s="9">
        <f>Inventario43[[#This Row],[Precio]]*Inventario43[[#This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IF(Inventario43[[#This Row],[Cantidad de unidades por bulto]]=0, 0, Inventario43[[#This Row],[Precio por bulto ($)]]/Inventario43[[#This Row],[Cantidad de unidades por bulto]])</f>
        <v>0.35166666666666663</v>
      </c>
      <c r="G25" s="9">
        <f>Inventario43[[#This Row],[Precio]]*Inventario43[[#This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IF(Inventario43[[#This Row],[Cantidad de unidades por bulto]]=0, 0, Inventario43[[#This Row],[Precio por bulto ($)]]/Inventario43[[#This Row],[Cantidad de unidades por bulto]])</f>
        <v>1.8</v>
      </c>
      <c r="G26" s="9">
        <f>Inventario43[[#This Row],[Precio]]*Inventario43[[#This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IF(Inventario43[[#This Row],[Cantidad de unidades por bulto]]=0, 0, Inventario43[[#This Row],[Precio por bulto ($)]]/Inventario43[[#This Row],[Cantidad de unidades por bulto]])</f>
        <v>3.625</v>
      </c>
      <c r="G27" s="9">
        <f>Inventario43[[#This Row],[Precio]]*Inventario43[[#This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IF(Inventario43[[#This Row],[Cantidad de unidades por bulto]]=0, 0, Inventario43[[#This Row],[Precio por bulto ($)]]/Inventario43[[#This Row],[Cantidad de unidades por bulto]])</f>
        <v>0.52083333333333337</v>
      </c>
      <c r="G28" s="9">
        <f>Inventario43[[#This Row],[Precio]]*Inventario43[[#This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IF(Inventario43[[#This Row],[Cantidad de unidades por bulto]]=0, 0, Inventario43[[#This Row],[Precio por bulto ($)]]/Inventario43[[#This Row],[Cantidad de unidades por bulto]])</f>
        <v>29</v>
      </c>
      <c r="G29" s="9">
        <f>Inventario43[[#This Row],[Precio]]*Inventario43[[#This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IF(Inventario43[[#This Row],[Cantidad de unidades por bulto]]=0, 0, Inventario43[[#This Row],[Precio por bulto ($)]]/Inventario43[[#This Row],[Cantidad de unidades por bulto]])</f>
        <v>0.52083333333333337</v>
      </c>
      <c r="G30" s="9">
        <f>Inventario43[[#This Row],[Precio]]*Inventario43[[#This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IF(Inventario43[[#This Row],[Cantidad de unidades por bulto]]=0, 0, Inventario43[[#This Row],[Precio por bulto ($)]]/Inventario43[[#This Row],[Cantidad de unidades por bulto]])</f>
        <v>0.375</v>
      </c>
      <c r="G31" s="9">
        <f>Inventario43[[#This Row],[Precio]]*Inventario43[[#This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IF(Inventario43[[#This Row],[Cantidad de unidades por bulto]]=0, 0, Inventario43[[#This Row],[Precio por bulto ($)]]/Inventario43[[#This Row],[Cantidad de unidades por bulto]])</f>
        <v>7.05</v>
      </c>
      <c r="G32" s="9">
        <f>Inventario43[[#This Row],[Precio]]*Inventario43[[#This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IF(Inventario43[[#This Row],[Cantidad de unidades por bulto]]=0, 0, Inventario43[[#This Row],[Precio por bulto ($)]]/Inventario43[[#This Row],[Cantidad de unidades por bulto]])</f>
        <v>7.05</v>
      </c>
      <c r="G33" s="9">
        <f>Inventario43[[#This Row],[Precio]]*Inventario43[[#This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IF(Inventario43[[#This Row],[Cantidad de unidades por bulto]]=0, 0, Inventario43[[#This Row],[Precio por bulto ($)]]/Inventario43[[#This Row],[Cantidad de unidades por bulto]])</f>
        <v>7.05</v>
      </c>
      <c r="G34" s="9">
        <f>Inventario43[[#This Row],[Precio]]*Inventario43[[#This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IF(Inventario43[[#This Row],[Cantidad de unidades por bulto]]=0, 0, Inventario43[[#This Row],[Precio por bulto ($)]]/Inventario43[[#This Row],[Cantidad de unidades por bulto]])</f>
        <v>1.95</v>
      </c>
      <c r="G35" s="9">
        <f>Inventario43[[#This Row],[Precio]]*Inventario43[[#This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IF(Inventario43[[#This Row],[Cantidad de unidades por bulto]]=0, 0, Inventario43[[#This Row],[Precio por bulto ($)]]/Inventario43[[#This Row],[Cantidad de unidades por bulto]])</f>
        <v>0.3</v>
      </c>
      <c r="G36" s="9">
        <f>Inventario43[[#This Row],[Precio]]*Inventario43[[#This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IF(Inventario43[[#This Row],[Cantidad de unidades por bulto]]=0, 0, Inventario43[[#This Row],[Precio por bulto ($)]]/Inventario43[[#This Row],[Cantidad de unidades por bulto]])</f>
        <v>13.5</v>
      </c>
      <c r="G37" s="9">
        <f>Inventario43[[#This Row],[Precio]]*Inventario43[[#This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IF(Inventario43[[#This Row],[Cantidad de unidades por bulto]]=0, 0, Inventario43[[#This Row],[Precio por bulto ($)]]/Inventario43[[#This Row],[Cantidad de unidades por bulto]])</f>
        <v>11</v>
      </c>
      <c r="G38" s="9">
        <f>Inventario43[[#This Row],[Precio]]*Inventario43[[#This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IF(Inventario43[[#This Row],[Cantidad de unidades por bulto]]=0, 0, Inventario43[[#This Row],[Precio por bulto ($)]]/Inventario43[[#This Row],[Cantidad de unidades por bulto]])</f>
        <v>0.5625</v>
      </c>
      <c r="G39" s="9">
        <f>Inventario43[[#This Row],[Precio]]*Inventario43[[#This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IF(Inventario43[[#This Row],[Cantidad de unidades por bulto]]=0, 0, Inventario43[[#This Row],[Precio por bulto ($)]]/Inventario43[[#This Row],[Cantidad de unidades por bulto]])</f>
        <v>2</v>
      </c>
      <c r="G40" s="9">
        <f>Inventario43[[#This Row],[Precio]]*Inventario43[[#This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0541E-66E1-46D3-AFFD-B53E73D9A326}">
  <sheetPr codeName="Hoja42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SUM(Inventario42[Importe])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IF(Inventario42[[#This Row],[Cantidad de unidades por bulto]]=0, 0, Inventario42[[#This Row],[Precio por bulto ($)]]/Inventario42[[#This Row],[Cantidad de unidades por bulto]])</f>
        <v>1.25</v>
      </c>
      <c r="G2" s="9">
        <f>Inventario42[[#This Row],[Precio]]*Inventario42[[#This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IF(Inventario42[[#This Row],[Cantidad de unidades por bulto]]=0, 0, Inventario42[[#This Row],[Precio por bulto ($)]]/Inventario42[[#This Row],[Cantidad de unidades por bulto]])</f>
        <v>1.2250000000000001</v>
      </c>
      <c r="G3" s="9">
        <f>Inventario42[[#This Row],[Precio]]*Inventario42[[#This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IF(Inventario42[[#This Row],[Cantidad de unidades por bulto]]=0, 0, Inventario42[[#This Row],[Precio por bulto ($)]]/Inventario42[[#This Row],[Cantidad de unidades por bulto]])</f>
        <v>0.81</v>
      </c>
      <c r="G4" s="9">
        <f>Inventario42[[#This Row],[Precio]]*Inventario42[[#This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IF(Inventario42[[#This Row],[Cantidad de unidades por bulto]]=0, 0, Inventario42[[#This Row],[Precio por bulto ($)]]/Inventario42[[#This Row],[Cantidad de unidades por bulto]])</f>
        <v>0.8</v>
      </c>
      <c r="G5" s="9">
        <f>Inventario42[[#This Row],[Precio]]*Inventario42[[#This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IF(Inventario42[[#This Row],[Cantidad de unidades por bulto]]=0, 0, Inventario42[[#This Row],[Precio por bulto ($)]]/Inventario42[[#This Row],[Cantidad de unidades por bulto]])</f>
        <v>0.81</v>
      </c>
      <c r="G6" s="9">
        <f>Inventario42[[#This Row],[Precio]]*Inventario42[[#This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IF(Inventario42[[#This Row],[Cantidad de unidades por bulto]]=0, 0, Inventario42[[#This Row],[Precio por bulto ($)]]/Inventario42[[#This Row],[Cantidad de unidades por bulto]])</f>
        <v>0.8773333333333333</v>
      </c>
      <c r="G7" s="9">
        <f>Inventario42[[#This Row],[Precio]]*Inventario42[[#This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IF(Inventario42[[#This Row],[Cantidad de unidades por bulto]]=0, 0, Inventario42[[#This Row],[Precio por bulto ($)]]/Inventario42[[#This Row],[Cantidad de unidades por bulto]])</f>
        <v>0.75</v>
      </c>
      <c r="G8" s="9">
        <f>Inventario42[[#This Row],[Precio]]*Inventario42[[#This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IF(Inventario42[[#This Row],[Cantidad de unidades por bulto]]=0, 0, Inventario42[[#This Row],[Precio por bulto ($)]]/Inventario42[[#This Row],[Cantidad de unidades por bulto]])</f>
        <v>0.75</v>
      </c>
      <c r="G9" s="9">
        <f>Inventario42[[#This Row],[Precio]]*Inventario42[[#This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IF(Inventario42[[#This Row],[Cantidad de unidades por bulto]]=0, 0, Inventario42[[#This Row],[Precio por bulto ($)]]/Inventario42[[#This Row],[Cantidad de unidades por bulto]])</f>
        <v>1.25</v>
      </c>
      <c r="G10" s="9">
        <f>Inventario42[[#This Row],[Precio]]*Inventario42[[#This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IF(Inventario42[[#This Row],[Cantidad de unidades por bulto]]=0, 0, Inventario42[[#This Row],[Precio por bulto ($)]]/Inventario42[[#This Row],[Cantidad de unidades por bulto]])</f>
        <v>11</v>
      </c>
      <c r="G11" s="9">
        <f>Inventario42[[#This Row],[Precio]]*Inventario42[[#This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IF(Inventario42[[#This Row],[Cantidad de unidades por bulto]]=0, 0, Inventario42[[#This Row],[Precio por bulto ($)]]/Inventario42[[#This Row],[Cantidad de unidades por bulto]])</f>
        <v>11</v>
      </c>
      <c r="G12" s="9">
        <f>Inventario42[[#This Row],[Precio]]*Inventario42[[#This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IF(Inventario42[[#This Row],[Cantidad de unidades por bulto]]=0, 0, Inventario42[[#This Row],[Precio por bulto ($)]]/Inventario42[[#This Row],[Cantidad de unidades por bulto]])</f>
        <v>1.25</v>
      </c>
      <c r="G13" s="9">
        <f>Inventario42[[#This Row],[Precio]]*Inventario42[[#This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IF(Inventario42[[#This Row],[Cantidad de unidades por bulto]]=0, 0, Inventario42[[#This Row],[Precio por bulto ($)]]/Inventario42[[#This Row],[Cantidad de unidades por bulto]])</f>
        <v>1.125</v>
      </c>
      <c r="G14" s="9">
        <f>Inventario42[[#This Row],[Precio]]*Inventario42[[#This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IF(Inventario42[[#This Row],[Cantidad de unidades por bulto]]=0, 0, Inventario42[[#This Row],[Precio por bulto ($)]]/Inventario42[[#This Row],[Cantidad de unidades por bulto]])</f>
        <v>0.69916666666666671</v>
      </c>
      <c r="G15" s="9">
        <f>Inventario42[[#This Row],[Precio]]*Inventario42[[#This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IF(Inventario42[[#This Row],[Cantidad de unidades por bulto]]=0, 0, Inventario42[[#This Row],[Precio por bulto ($)]]/Inventario42[[#This Row],[Cantidad de unidades por bulto]])</f>
        <v>1.125</v>
      </c>
      <c r="G16" s="9">
        <f>Inventario42[[#This Row],[Precio]]*Inventario42[[#This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IF(Inventario42[[#This Row],[Cantidad de unidades por bulto]]=0, 0, Inventario42[[#This Row],[Precio por bulto ($)]]/Inventario42[[#This Row],[Cantidad de unidades por bulto]])</f>
        <v>1.125</v>
      </c>
      <c r="G17" s="9">
        <f>Inventario42[[#This Row],[Precio]]*Inventario42[[#This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IF(Inventario42[[#This Row],[Cantidad de unidades por bulto]]=0, 0, Inventario42[[#This Row],[Precio por bulto ($)]]/Inventario42[[#This Row],[Cantidad de unidades por bulto]])</f>
        <v>0.63461538461538458</v>
      </c>
      <c r="G18" s="9">
        <f>Inventario42[[#This Row],[Precio]]*Inventario42[[#This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IF(Inventario42[[#This Row],[Cantidad de unidades por bulto]]=0, 0, Inventario42[[#This Row],[Precio por bulto ($)]]/Inventario42[[#This Row],[Cantidad de unidades por bulto]])</f>
        <v>0.10416666666666667</v>
      </c>
      <c r="G19" s="9">
        <f>Inventario42[[#This Row],[Precio]]*Inventario42[[#This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IF(Inventario42[[#This Row],[Cantidad de unidades por bulto]]=0, 0, Inventario42[[#This Row],[Precio por bulto ($)]]/Inventario42[[#This Row],[Cantidad de unidades por bulto]])</f>
        <v>2.6</v>
      </c>
      <c r="G20" s="9">
        <f>Inventario42[[#This Row],[Precio]]*Inventario42[[#This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IF(Inventario42[[#This Row],[Cantidad de unidades por bulto]]=0, 0, Inventario42[[#This Row],[Precio por bulto ($)]]/Inventario42[[#This Row],[Cantidad de unidades por bulto]])</f>
        <v>0.9</v>
      </c>
      <c r="G21" s="9">
        <f>Inventario42[[#This Row],[Precio]]*Inventario42[[#This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IF(Inventario42[[#This Row],[Cantidad de unidades por bulto]]=0, 0, Inventario42[[#This Row],[Precio por bulto ($)]]/Inventario42[[#This Row],[Cantidad de unidades por bulto]])</f>
        <v>45</v>
      </c>
      <c r="G22" s="9">
        <f>Inventario42[[#This Row],[Precio]]*Inventario42[[#This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IF(Inventario42[[#This Row],[Cantidad de unidades por bulto]]=0, 0, Inventario42[[#This Row],[Precio por bulto ($)]]/Inventario42[[#This Row],[Cantidad de unidades por bulto]])</f>
        <v>1.6</v>
      </c>
      <c r="G23" s="9">
        <f>Inventario42[[#This Row],[Precio]]*Inventario42[[#This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IF(Inventario42[[#This Row],[Cantidad de unidades por bulto]]=0, 0, Inventario42[[#This Row],[Precio por bulto ($)]]/Inventario42[[#This Row],[Cantidad de unidades por bulto]])</f>
        <v>0.22</v>
      </c>
      <c r="G24" s="9">
        <f>Inventario42[[#This Row],[Precio]]*Inventario42[[#This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IF(Inventario42[[#This Row],[Cantidad de unidades por bulto]]=0, 0, Inventario42[[#This Row],[Precio por bulto ($)]]/Inventario42[[#This Row],[Cantidad de unidades por bulto]])</f>
        <v>0.35166666666666663</v>
      </c>
      <c r="G25" s="9">
        <f>Inventario42[[#This Row],[Precio]]*Inventario42[[#This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IF(Inventario42[[#This Row],[Cantidad de unidades por bulto]]=0, 0, Inventario42[[#This Row],[Precio por bulto ($)]]/Inventario42[[#This Row],[Cantidad de unidades por bulto]])</f>
        <v>1.8</v>
      </c>
      <c r="G26" s="9">
        <f>Inventario42[[#This Row],[Precio]]*Inventario42[[#This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IF(Inventario42[[#This Row],[Cantidad de unidades por bulto]]=0, 0, Inventario42[[#This Row],[Precio por bulto ($)]]/Inventario42[[#This Row],[Cantidad de unidades por bulto]])</f>
        <v>3.625</v>
      </c>
      <c r="G27" s="9">
        <f>Inventario42[[#This Row],[Precio]]*Inventario42[[#This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IF(Inventario42[[#This Row],[Cantidad de unidades por bulto]]=0, 0, Inventario42[[#This Row],[Precio por bulto ($)]]/Inventario42[[#This Row],[Cantidad de unidades por bulto]])</f>
        <v>0.52083333333333337</v>
      </c>
      <c r="G28" s="9">
        <f>Inventario42[[#This Row],[Precio]]*Inventario42[[#This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IF(Inventario42[[#This Row],[Cantidad de unidades por bulto]]=0, 0, Inventario42[[#This Row],[Precio por bulto ($)]]/Inventario42[[#This Row],[Cantidad de unidades por bulto]])</f>
        <v>29</v>
      </c>
      <c r="G29" s="9">
        <f>Inventario42[[#This Row],[Precio]]*Inventario42[[#This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IF(Inventario42[[#This Row],[Cantidad de unidades por bulto]]=0, 0, Inventario42[[#This Row],[Precio por bulto ($)]]/Inventario42[[#This Row],[Cantidad de unidades por bulto]])</f>
        <v>0.52083333333333337</v>
      </c>
      <c r="G30" s="9">
        <f>Inventario42[[#This Row],[Precio]]*Inventario42[[#This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IF(Inventario42[[#This Row],[Cantidad de unidades por bulto]]=0, 0, Inventario42[[#This Row],[Precio por bulto ($)]]/Inventario42[[#This Row],[Cantidad de unidades por bulto]])</f>
        <v>0.375</v>
      </c>
      <c r="G31" s="9">
        <f>Inventario42[[#This Row],[Precio]]*Inventario42[[#This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IF(Inventario42[[#This Row],[Cantidad de unidades por bulto]]=0, 0, Inventario42[[#This Row],[Precio por bulto ($)]]/Inventario42[[#This Row],[Cantidad de unidades por bulto]])</f>
        <v>7.05</v>
      </c>
      <c r="G32" s="9">
        <f>Inventario42[[#This Row],[Precio]]*Inventario42[[#This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IF(Inventario42[[#This Row],[Cantidad de unidades por bulto]]=0, 0, Inventario42[[#This Row],[Precio por bulto ($)]]/Inventario42[[#This Row],[Cantidad de unidades por bulto]])</f>
        <v>7.05</v>
      </c>
      <c r="G33" s="9">
        <f>Inventario42[[#This Row],[Precio]]*Inventario42[[#This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IF(Inventario42[[#This Row],[Cantidad de unidades por bulto]]=0, 0, Inventario42[[#This Row],[Precio por bulto ($)]]/Inventario42[[#This Row],[Cantidad de unidades por bulto]])</f>
        <v>7.05</v>
      </c>
      <c r="G34" s="9">
        <f>Inventario42[[#This Row],[Precio]]*Inventario42[[#This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IF(Inventario42[[#This Row],[Cantidad de unidades por bulto]]=0, 0, Inventario42[[#This Row],[Precio por bulto ($)]]/Inventario42[[#This Row],[Cantidad de unidades por bulto]])</f>
        <v>1.95</v>
      </c>
      <c r="G35" s="9">
        <f>Inventario42[[#This Row],[Precio]]*Inventario42[[#This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IF(Inventario42[[#This Row],[Cantidad de unidades por bulto]]=0, 0, Inventario42[[#This Row],[Precio por bulto ($)]]/Inventario42[[#This Row],[Cantidad de unidades por bulto]])</f>
        <v>0.3</v>
      </c>
      <c r="G36" s="9">
        <f>Inventario42[[#This Row],[Precio]]*Inventario42[[#This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IF(Inventario42[[#This Row],[Cantidad de unidades por bulto]]=0, 0, Inventario42[[#This Row],[Precio por bulto ($)]]/Inventario42[[#This Row],[Cantidad de unidades por bulto]])</f>
        <v>13.5</v>
      </c>
      <c r="G37" s="9">
        <f>Inventario42[[#This Row],[Precio]]*Inventario42[[#This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IF(Inventario42[[#This Row],[Cantidad de unidades por bulto]]=0, 0, Inventario42[[#This Row],[Precio por bulto ($)]]/Inventario42[[#This Row],[Cantidad de unidades por bulto]])</f>
        <v>11</v>
      </c>
      <c r="G38" s="9">
        <f>Inventario42[[#This Row],[Precio]]*Inventario42[[#This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IF(Inventario42[[#This Row],[Cantidad de unidades por bulto]]=0, 0, Inventario42[[#This Row],[Precio por bulto ($)]]/Inventario42[[#This Row],[Cantidad de unidades por bulto]])</f>
        <v>0.5625</v>
      </c>
      <c r="G39" s="9">
        <f>Inventario42[[#This Row],[Precio]]*Inventario42[[#This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IF(Inventario42[[#This Row],[Cantidad de unidades por bulto]]=0, 0, Inventario42[[#This Row],[Precio por bulto ($)]]/Inventario42[[#This Row],[Cantidad de unidades por bulto]])</f>
        <v>2</v>
      </c>
      <c r="G40" s="9">
        <f>Inventario42[[#This Row],[Precio]]*Inventario42[[#This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462B6-C84F-4607-9AAF-D239FAF1F6F6}">
  <sheetPr codeName="Hoja41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SUM(Inventario41[Importe])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IF(Inventario41[[#This Row],[Cantidad de unidades por bulto]]=0, 0, Inventario41[[#This Row],[Precio por bulto ($)]]/Inventario41[[#This Row],[Cantidad de unidades por bulto]])</f>
        <v>1.25</v>
      </c>
      <c r="G2" s="9">
        <f>Inventario41[[#This Row],[Precio]]*Inventario41[[#This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IF(Inventario41[[#This Row],[Cantidad de unidades por bulto]]=0, 0, Inventario41[[#This Row],[Precio por bulto ($)]]/Inventario41[[#This Row],[Cantidad de unidades por bulto]])</f>
        <v>1.2250000000000001</v>
      </c>
      <c r="G3" s="9">
        <f>Inventario41[[#This Row],[Precio]]*Inventario41[[#This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IF(Inventario41[[#This Row],[Cantidad de unidades por bulto]]=0, 0, Inventario41[[#This Row],[Precio por bulto ($)]]/Inventario41[[#This Row],[Cantidad de unidades por bulto]])</f>
        <v>0.81</v>
      </c>
      <c r="G4" s="9">
        <f>Inventario41[[#This Row],[Precio]]*Inventario41[[#This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IF(Inventario41[[#This Row],[Cantidad de unidades por bulto]]=0, 0, Inventario41[[#This Row],[Precio por bulto ($)]]/Inventario41[[#This Row],[Cantidad de unidades por bulto]])</f>
        <v>0.8</v>
      </c>
      <c r="G5" s="9">
        <f>Inventario41[[#This Row],[Precio]]*Inventario41[[#This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IF(Inventario41[[#This Row],[Cantidad de unidades por bulto]]=0, 0, Inventario41[[#This Row],[Precio por bulto ($)]]/Inventario41[[#This Row],[Cantidad de unidades por bulto]])</f>
        <v>0.81</v>
      </c>
      <c r="G6" s="9">
        <f>Inventario41[[#This Row],[Precio]]*Inventario41[[#This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IF(Inventario41[[#This Row],[Cantidad de unidades por bulto]]=0, 0, Inventario41[[#This Row],[Precio por bulto ($)]]/Inventario41[[#This Row],[Cantidad de unidades por bulto]])</f>
        <v>0.8773333333333333</v>
      </c>
      <c r="G7" s="9">
        <f>Inventario41[[#This Row],[Precio]]*Inventario41[[#This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IF(Inventario41[[#This Row],[Cantidad de unidades por bulto]]=0, 0, Inventario41[[#This Row],[Precio por bulto ($)]]/Inventario41[[#This Row],[Cantidad de unidades por bulto]])</f>
        <v>0.75</v>
      </c>
      <c r="G8" s="9">
        <f>Inventario41[[#This Row],[Precio]]*Inventario41[[#This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IF(Inventario41[[#This Row],[Cantidad de unidades por bulto]]=0, 0, Inventario41[[#This Row],[Precio por bulto ($)]]/Inventario41[[#This Row],[Cantidad de unidades por bulto]])</f>
        <v>0.75</v>
      </c>
      <c r="G9" s="9">
        <f>Inventario41[[#This Row],[Precio]]*Inventario41[[#This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IF(Inventario41[[#This Row],[Cantidad de unidades por bulto]]=0, 0, Inventario41[[#This Row],[Precio por bulto ($)]]/Inventario41[[#This Row],[Cantidad de unidades por bulto]])</f>
        <v>1.25</v>
      </c>
      <c r="G10" s="9">
        <f>Inventario41[[#This Row],[Precio]]*Inventario41[[#This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IF(Inventario41[[#This Row],[Cantidad de unidades por bulto]]=0, 0, Inventario41[[#This Row],[Precio por bulto ($)]]/Inventario41[[#This Row],[Cantidad de unidades por bulto]])</f>
        <v>11</v>
      </c>
      <c r="G11" s="9">
        <f>Inventario41[[#This Row],[Precio]]*Inventario41[[#This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IF(Inventario41[[#This Row],[Cantidad de unidades por bulto]]=0, 0, Inventario41[[#This Row],[Precio por bulto ($)]]/Inventario41[[#This Row],[Cantidad de unidades por bulto]])</f>
        <v>11</v>
      </c>
      <c r="G12" s="9">
        <f>Inventario41[[#This Row],[Precio]]*Inventario41[[#This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IF(Inventario41[[#This Row],[Cantidad de unidades por bulto]]=0, 0, Inventario41[[#This Row],[Precio por bulto ($)]]/Inventario41[[#This Row],[Cantidad de unidades por bulto]])</f>
        <v>1.25</v>
      </c>
      <c r="G13" s="9">
        <f>Inventario41[[#This Row],[Precio]]*Inventario41[[#This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IF(Inventario41[[#This Row],[Cantidad de unidades por bulto]]=0, 0, Inventario41[[#This Row],[Precio por bulto ($)]]/Inventario41[[#This Row],[Cantidad de unidades por bulto]])</f>
        <v>1.125</v>
      </c>
      <c r="G14" s="9">
        <f>Inventario41[[#This Row],[Precio]]*Inventario41[[#This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IF(Inventario41[[#This Row],[Cantidad de unidades por bulto]]=0, 0, Inventario41[[#This Row],[Precio por bulto ($)]]/Inventario41[[#This Row],[Cantidad de unidades por bulto]])</f>
        <v>0.69916666666666671</v>
      </c>
      <c r="G15" s="9">
        <f>Inventario41[[#This Row],[Precio]]*Inventario41[[#This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IF(Inventario41[[#This Row],[Cantidad de unidades por bulto]]=0, 0, Inventario41[[#This Row],[Precio por bulto ($)]]/Inventario41[[#This Row],[Cantidad de unidades por bulto]])</f>
        <v>1.125</v>
      </c>
      <c r="G16" s="9">
        <f>Inventario41[[#This Row],[Precio]]*Inventario41[[#This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IF(Inventario41[[#This Row],[Cantidad de unidades por bulto]]=0, 0, Inventario41[[#This Row],[Precio por bulto ($)]]/Inventario41[[#This Row],[Cantidad de unidades por bulto]])</f>
        <v>1.125</v>
      </c>
      <c r="G17" s="9">
        <f>Inventario41[[#This Row],[Precio]]*Inventario41[[#This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IF(Inventario41[[#This Row],[Cantidad de unidades por bulto]]=0, 0, Inventario41[[#This Row],[Precio por bulto ($)]]/Inventario41[[#This Row],[Cantidad de unidades por bulto]])</f>
        <v>0.63461538461538458</v>
      </c>
      <c r="G18" s="9">
        <f>Inventario41[[#This Row],[Precio]]*Inventario41[[#This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IF(Inventario41[[#This Row],[Cantidad de unidades por bulto]]=0, 0, Inventario41[[#This Row],[Precio por bulto ($)]]/Inventario41[[#This Row],[Cantidad de unidades por bulto]])</f>
        <v>0.10416666666666667</v>
      </c>
      <c r="G19" s="9">
        <f>Inventario41[[#This Row],[Precio]]*Inventario41[[#This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IF(Inventario41[[#This Row],[Cantidad de unidades por bulto]]=0, 0, Inventario41[[#This Row],[Precio por bulto ($)]]/Inventario41[[#This Row],[Cantidad de unidades por bulto]])</f>
        <v>2.6</v>
      </c>
      <c r="G20" s="9">
        <f>Inventario41[[#This Row],[Precio]]*Inventario41[[#This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IF(Inventario41[[#This Row],[Cantidad de unidades por bulto]]=0, 0, Inventario41[[#This Row],[Precio por bulto ($)]]/Inventario41[[#This Row],[Cantidad de unidades por bulto]])</f>
        <v>0.9</v>
      </c>
      <c r="G21" s="9">
        <f>Inventario41[[#This Row],[Precio]]*Inventario41[[#This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IF(Inventario41[[#This Row],[Cantidad de unidades por bulto]]=0, 0, Inventario41[[#This Row],[Precio por bulto ($)]]/Inventario41[[#This Row],[Cantidad de unidades por bulto]])</f>
        <v>45</v>
      </c>
      <c r="G22" s="9">
        <f>Inventario41[[#This Row],[Precio]]*Inventario41[[#This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IF(Inventario41[[#This Row],[Cantidad de unidades por bulto]]=0, 0, Inventario41[[#This Row],[Precio por bulto ($)]]/Inventario41[[#This Row],[Cantidad de unidades por bulto]])</f>
        <v>1.6</v>
      </c>
      <c r="G23" s="9">
        <f>Inventario41[[#This Row],[Precio]]*Inventario41[[#This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IF(Inventario41[[#This Row],[Cantidad de unidades por bulto]]=0, 0, Inventario41[[#This Row],[Precio por bulto ($)]]/Inventario41[[#This Row],[Cantidad de unidades por bulto]])</f>
        <v>0.22</v>
      </c>
      <c r="G24" s="9">
        <f>Inventario41[[#This Row],[Precio]]*Inventario41[[#This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IF(Inventario41[[#This Row],[Cantidad de unidades por bulto]]=0, 0, Inventario41[[#This Row],[Precio por bulto ($)]]/Inventario41[[#This Row],[Cantidad de unidades por bulto]])</f>
        <v>0.35166666666666663</v>
      </c>
      <c r="G25" s="9">
        <f>Inventario41[[#This Row],[Precio]]*Inventario41[[#This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IF(Inventario41[[#This Row],[Cantidad de unidades por bulto]]=0, 0, Inventario41[[#This Row],[Precio por bulto ($)]]/Inventario41[[#This Row],[Cantidad de unidades por bulto]])</f>
        <v>1.8</v>
      </c>
      <c r="G26" s="9">
        <f>Inventario41[[#This Row],[Precio]]*Inventario41[[#This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IF(Inventario41[[#This Row],[Cantidad de unidades por bulto]]=0, 0, Inventario41[[#This Row],[Precio por bulto ($)]]/Inventario41[[#This Row],[Cantidad de unidades por bulto]])</f>
        <v>3.625</v>
      </c>
      <c r="G27" s="9">
        <f>Inventario41[[#This Row],[Precio]]*Inventario41[[#This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IF(Inventario41[[#This Row],[Cantidad de unidades por bulto]]=0, 0, Inventario41[[#This Row],[Precio por bulto ($)]]/Inventario41[[#This Row],[Cantidad de unidades por bulto]])</f>
        <v>0.52083333333333337</v>
      </c>
      <c r="G28" s="9">
        <f>Inventario41[[#This Row],[Precio]]*Inventario41[[#This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IF(Inventario41[[#This Row],[Cantidad de unidades por bulto]]=0, 0, Inventario41[[#This Row],[Precio por bulto ($)]]/Inventario41[[#This Row],[Cantidad de unidades por bulto]])</f>
        <v>29</v>
      </c>
      <c r="G29" s="9">
        <f>Inventario41[[#This Row],[Precio]]*Inventario41[[#This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IF(Inventario41[[#This Row],[Cantidad de unidades por bulto]]=0, 0, Inventario41[[#This Row],[Precio por bulto ($)]]/Inventario41[[#This Row],[Cantidad de unidades por bulto]])</f>
        <v>0.52083333333333337</v>
      </c>
      <c r="G30" s="9">
        <f>Inventario41[[#This Row],[Precio]]*Inventario41[[#This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IF(Inventario41[[#This Row],[Cantidad de unidades por bulto]]=0, 0, Inventario41[[#This Row],[Precio por bulto ($)]]/Inventario41[[#This Row],[Cantidad de unidades por bulto]])</f>
        <v>0.375</v>
      </c>
      <c r="G31" s="9">
        <f>Inventario41[[#This Row],[Precio]]*Inventario41[[#This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IF(Inventario41[[#This Row],[Cantidad de unidades por bulto]]=0, 0, Inventario41[[#This Row],[Precio por bulto ($)]]/Inventario41[[#This Row],[Cantidad de unidades por bulto]])</f>
        <v>7.05</v>
      </c>
      <c r="G32" s="9">
        <f>Inventario41[[#This Row],[Precio]]*Inventario41[[#This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IF(Inventario41[[#This Row],[Cantidad de unidades por bulto]]=0, 0, Inventario41[[#This Row],[Precio por bulto ($)]]/Inventario41[[#This Row],[Cantidad de unidades por bulto]])</f>
        <v>7.05</v>
      </c>
      <c r="G33" s="9">
        <f>Inventario41[[#This Row],[Precio]]*Inventario41[[#This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IF(Inventario41[[#This Row],[Cantidad de unidades por bulto]]=0, 0, Inventario41[[#This Row],[Precio por bulto ($)]]/Inventario41[[#This Row],[Cantidad de unidades por bulto]])</f>
        <v>7.05</v>
      </c>
      <c r="G34" s="9">
        <f>Inventario41[[#This Row],[Precio]]*Inventario41[[#This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IF(Inventario41[[#This Row],[Cantidad de unidades por bulto]]=0, 0, Inventario41[[#This Row],[Precio por bulto ($)]]/Inventario41[[#This Row],[Cantidad de unidades por bulto]])</f>
        <v>1.95</v>
      </c>
      <c r="G35" s="9">
        <f>Inventario41[[#This Row],[Precio]]*Inventario41[[#This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IF(Inventario41[[#This Row],[Cantidad de unidades por bulto]]=0, 0, Inventario41[[#This Row],[Precio por bulto ($)]]/Inventario41[[#This Row],[Cantidad de unidades por bulto]])</f>
        <v>0.3</v>
      </c>
      <c r="G36" s="9">
        <f>Inventario41[[#This Row],[Precio]]*Inventario41[[#This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IF(Inventario41[[#This Row],[Cantidad de unidades por bulto]]=0, 0, Inventario41[[#This Row],[Precio por bulto ($)]]/Inventario41[[#This Row],[Cantidad de unidades por bulto]])</f>
        <v>13.5</v>
      </c>
      <c r="G37" s="9">
        <f>Inventario41[[#This Row],[Precio]]*Inventario41[[#This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IF(Inventario41[[#This Row],[Cantidad de unidades por bulto]]=0, 0, Inventario41[[#This Row],[Precio por bulto ($)]]/Inventario41[[#This Row],[Cantidad de unidades por bulto]])</f>
        <v>11</v>
      </c>
      <c r="G38" s="9">
        <f>Inventario41[[#This Row],[Precio]]*Inventario41[[#This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IF(Inventario41[[#This Row],[Cantidad de unidades por bulto]]=0, 0, Inventario41[[#This Row],[Precio por bulto ($)]]/Inventario41[[#This Row],[Cantidad de unidades por bulto]])</f>
        <v>0.5625</v>
      </c>
      <c r="G39" s="9">
        <f>Inventario41[[#This Row],[Precio]]*Inventario41[[#This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IF(Inventario41[[#This Row],[Cantidad de unidades por bulto]]=0, 0, Inventario41[[#This Row],[Precio por bulto ($)]]/Inventario41[[#This Row],[Cantidad de unidades por bulto]])</f>
        <v>2</v>
      </c>
      <c r="G40" s="9">
        <f>Inventario41[[#This Row],[Precio]]*Inventario41[[#This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6CA6-9191-4586-8A7D-59F5575EF221}">
  <sheetPr codeName="Hoja40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SUM(Inventario40[Importe])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IF(Inventario40[[#This Row],[Cantidad de unidades por bulto]]=0, 0, Inventario40[[#This Row],[Precio por bulto ($)]]/Inventario40[[#This Row],[Cantidad de unidades por bulto]])</f>
        <v>1.25</v>
      </c>
      <c r="G2" s="9">
        <f>Inventario40[[#This Row],[Precio]]*Inventario40[[#This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IF(Inventario40[[#This Row],[Cantidad de unidades por bulto]]=0, 0, Inventario40[[#This Row],[Precio por bulto ($)]]/Inventario40[[#This Row],[Cantidad de unidades por bulto]])</f>
        <v>1.2250000000000001</v>
      </c>
      <c r="G3" s="9">
        <f>Inventario40[[#This Row],[Precio]]*Inventario40[[#This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IF(Inventario40[[#This Row],[Cantidad de unidades por bulto]]=0, 0, Inventario40[[#This Row],[Precio por bulto ($)]]/Inventario40[[#This Row],[Cantidad de unidades por bulto]])</f>
        <v>0.81</v>
      </c>
      <c r="G4" s="9">
        <f>Inventario40[[#This Row],[Precio]]*Inventario40[[#This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IF(Inventario40[[#This Row],[Cantidad de unidades por bulto]]=0, 0, Inventario40[[#This Row],[Precio por bulto ($)]]/Inventario40[[#This Row],[Cantidad de unidades por bulto]])</f>
        <v>0.8</v>
      </c>
      <c r="G5" s="9">
        <f>Inventario40[[#This Row],[Precio]]*Inventario40[[#This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IF(Inventario40[[#This Row],[Cantidad de unidades por bulto]]=0, 0, Inventario40[[#This Row],[Precio por bulto ($)]]/Inventario40[[#This Row],[Cantidad de unidades por bulto]])</f>
        <v>0.81</v>
      </c>
      <c r="G6" s="9">
        <f>Inventario40[[#This Row],[Precio]]*Inventario40[[#This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IF(Inventario40[[#This Row],[Cantidad de unidades por bulto]]=0, 0, Inventario40[[#This Row],[Precio por bulto ($)]]/Inventario40[[#This Row],[Cantidad de unidades por bulto]])</f>
        <v>0.8773333333333333</v>
      </c>
      <c r="G7" s="9">
        <f>Inventario40[[#This Row],[Precio]]*Inventario40[[#This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IF(Inventario40[[#This Row],[Cantidad de unidades por bulto]]=0, 0, Inventario40[[#This Row],[Precio por bulto ($)]]/Inventario40[[#This Row],[Cantidad de unidades por bulto]])</f>
        <v>0.75</v>
      </c>
      <c r="G8" s="9">
        <f>Inventario40[[#This Row],[Precio]]*Inventario40[[#This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IF(Inventario40[[#This Row],[Cantidad de unidades por bulto]]=0, 0, Inventario40[[#This Row],[Precio por bulto ($)]]/Inventario40[[#This Row],[Cantidad de unidades por bulto]])</f>
        <v>0.75</v>
      </c>
      <c r="G9" s="9">
        <f>Inventario40[[#This Row],[Precio]]*Inventario40[[#This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IF(Inventario40[[#This Row],[Cantidad de unidades por bulto]]=0, 0, Inventario40[[#This Row],[Precio por bulto ($)]]/Inventario40[[#This Row],[Cantidad de unidades por bulto]])</f>
        <v>1.25</v>
      </c>
      <c r="G10" s="9">
        <f>Inventario40[[#This Row],[Precio]]*Inventario40[[#This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IF(Inventario40[[#This Row],[Cantidad de unidades por bulto]]=0, 0, Inventario40[[#This Row],[Precio por bulto ($)]]/Inventario40[[#This Row],[Cantidad de unidades por bulto]])</f>
        <v>11</v>
      </c>
      <c r="G11" s="9">
        <f>Inventario40[[#This Row],[Precio]]*Inventario40[[#This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IF(Inventario40[[#This Row],[Cantidad de unidades por bulto]]=0, 0, Inventario40[[#This Row],[Precio por bulto ($)]]/Inventario40[[#This Row],[Cantidad de unidades por bulto]])</f>
        <v>11</v>
      </c>
      <c r="G12" s="9">
        <f>Inventario40[[#This Row],[Precio]]*Inventario40[[#This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IF(Inventario40[[#This Row],[Cantidad de unidades por bulto]]=0, 0, Inventario40[[#This Row],[Precio por bulto ($)]]/Inventario40[[#This Row],[Cantidad de unidades por bulto]])</f>
        <v>1.25</v>
      </c>
      <c r="G13" s="9">
        <f>Inventario40[[#This Row],[Precio]]*Inventario40[[#This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IF(Inventario40[[#This Row],[Cantidad de unidades por bulto]]=0, 0, Inventario40[[#This Row],[Precio por bulto ($)]]/Inventario40[[#This Row],[Cantidad de unidades por bulto]])</f>
        <v>1.125</v>
      </c>
      <c r="G14" s="9">
        <f>Inventario40[[#This Row],[Precio]]*Inventario40[[#This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IF(Inventario40[[#This Row],[Cantidad de unidades por bulto]]=0, 0, Inventario40[[#This Row],[Precio por bulto ($)]]/Inventario40[[#This Row],[Cantidad de unidades por bulto]])</f>
        <v>0.69916666666666671</v>
      </c>
      <c r="G15" s="9">
        <f>Inventario40[[#This Row],[Precio]]*Inventario40[[#This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IF(Inventario40[[#This Row],[Cantidad de unidades por bulto]]=0, 0, Inventario40[[#This Row],[Precio por bulto ($)]]/Inventario40[[#This Row],[Cantidad de unidades por bulto]])</f>
        <v>1.125</v>
      </c>
      <c r="G16" s="9">
        <f>Inventario40[[#This Row],[Precio]]*Inventario40[[#This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IF(Inventario40[[#This Row],[Cantidad de unidades por bulto]]=0, 0, Inventario40[[#This Row],[Precio por bulto ($)]]/Inventario40[[#This Row],[Cantidad de unidades por bulto]])</f>
        <v>1.125</v>
      </c>
      <c r="G17" s="9">
        <f>Inventario40[[#This Row],[Precio]]*Inventario40[[#This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IF(Inventario40[[#This Row],[Cantidad de unidades por bulto]]=0, 0, Inventario40[[#This Row],[Precio por bulto ($)]]/Inventario40[[#This Row],[Cantidad de unidades por bulto]])</f>
        <v>0.63461538461538458</v>
      </c>
      <c r="G18" s="9">
        <f>Inventario40[[#This Row],[Precio]]*Inventario40[[#This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IF(Inventario40[[#This Row],[Cantidad de unidades por bulto]]=0, 0, Inventario40[[#This Row],[Precio por bulto ($)]]/Inventario40[[#This Row],[Cantidad de unidades por bulto]])</f>
        <v>0.10416666666666667</v>
      </c>
      <c r="G19" s="9">
        <f>Inventario40[[#This Row],[Precio]]*Inventario40[[#This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IF(Inventario40[[#This Row],[Cantidad de unidades por bulto]]=0, 0, Inventario40[[#This Row],[Precio por bulto ($)]]/Inventario40[[#This Row],[Cantidad de unidades por bulto]])</f>
        <v>2.6</v>
      </c>
      <c r="G20" s="9">
        <f>Inventario40[[#This Row],[Precio]]*Inventario40[[#This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IF(Inventario40[[#This Row],[Cantidad de unidades por bulto]]=0, 0, Inventario40[[#This Row],[Precio por bulto ($)]]/Inventario40[[#This Row],[Cantidad de unidades por bulto]])</f>
        <v>0.9</v>
      </c>
      <c r="G21" s="9">
        <f>Inventario40[[#This Row],[Precio]]*Inventario40[[#This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IF(Inventario40[[#This Row],[Cantidad de unidades por bulto]]=0, 0, Inventario40[[#This Row],[Precio por bulto ($)]]/Inventario40[[#This Row],[Cantidad de unidades por bulto]])</f>
        <v>45</v>
      </c>
      <c r="G22" s="9">
        <f>Inventario40[[#This Row],[Precio]]*Inventario40[[#This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IF(Inventario40[[#This Row],[Cantidad de unidades por bulto]]=0, 0, Inventario40[[#This Row],[Precio por bulto ($)]]/Inventario40[[#This Row],[Cantidad de unidades por bulto]])</f>
        <v>1.6</v>
      </c>
      <c r="G23" s="9">
        <f>Inventario40[[#This Row],[Precio]]*Inventario40[[#This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IF(Inventario40[[#This Row],[Cantidad de unidades por bulto]]=0, 0, Inventario40[[#This Row],[Precio por bulto ($)]]/Inventario40[[#This Row],[Cantidad de unidades por bulto]])</f>
        <v>0.22</v>
      </c>
      <c r="G24" s="9">
        <f>Inventario40[[#This Row],[Precio]]*Inventario40[[#This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IF(Inventario40[[#This Row],[Cantidad de unidades por bulto]]=0, 0, Inventario40[[#This Row],[Precio por bulto ($)]]/Inventario40[[#This Row],[Cantidad de unidades por bulto]])</f>
        <v>0.35166666666666663</v>
      </c>
      <c r="G25" s="9">
        <f>Inventario40[[#This Row],[Precio]]*Inventario40[[#This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IF(Inventario40[[#This Row],[Cantidad de unidades por bulto]]=0, 0, Inventario40[[#This Row],[Precio por bulto ($)]]/Inventario40[[#This Row],[Cantidad de unidades por bulto]])</f>
        <v>1.8</v>
      </c>
      <c r="G26" s="9">
        <f>Inventario40[[#This Row],[Precio]]*Inventario40[[#This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IF(Inventario40[[#This Row],[Cantidad de unidades por bulto]]=0, 0, Inventario40[[#This Row],[Precio por bulto ($)]]/Inventario40[[#This Row],[Cantidad de unidades por bulto]])</f>
        <v>3.625</v>
      </c>
      <c r="G27" s="9">
        <f>Inventario40[[#This Row],[Precio]]*Inventario40[[#This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IF(Inventario40[[#This Row],[Cantidad de unidades por bulto]]=0, 0, Inventario40[[#This Row],[Precio por bulto ($)]]/Inventario40[[#This Row],[Cantidad de unidades por bulto]])</f>
        <v>0.52083333333333337</v>
      </c>
      <c r="G28" s="9">
        <f>Inventario40[[#This Row],[Precio]]*Inventario40[[#This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IF(Inventario40[[#This Row],[Cantidad de unidades por bulto]]=0, 0, Inventario40[[#This Row],[Precio por bulto ($)]]/Inventario40[[#This Row],[Cantidad de unidades por bulto]])</f>
        <v>29</v>
      </c>
      <c r="G29" s="9">
        <f>Inventario40[[#This Row],[Precio]]*Inventario40[[#This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IF(Inventario40[[#This Row],[Cantidad de unidades por bulto]]=0, 0, Inventario40[[#This Row],[Precio por bulto ($)]]/Inventario40[[#This Row],[Cantidad de unidades por bulto]])</f>
        <v>0.52083333333333337</v>
      </c>
      <c r="G30" s="9">
        <f>Inventario40[[#This Row],[Precio]]*Inventario40[[#This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IF(Inventario40[[#This Row],[Cantidad de unidades por bulto]]=0, 0, Inventario40[[#This Row],[Precio por bulto ($)]]/Inventario40[[#This Row],[Cantidad de unidades por bulto]])</f>
        <v>0.375</v>
      </c>
      <c r="G31" s="9">
        <f>Inventario40[[#This Row],[Precio]]*Inventario40[[#This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IF(Inventario40[[#This Row],[Cantidad de unidades por bulto]]=0, 0, Inventario40[[#This Row],[Precio por bulto ($)]]/Inventario40[[#This Row],[Cantidad de unidades por bulto]])</f>
        <v>7.05</v>
      </c>
      <c r="G32" s="9">
        <f>Inventario40[[#This Row],[Precio]]*Inventario40[[#This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IF(Inventario40[[#This Row],[Cantidad de unidades por bulto]]=0, 0, Inventario40[[#This Row],[Precio por bulto ($)]]/Inventario40[[#This Row],[Cantidad de unidades por bulto]])</f>
        <v>7.05</v>
      </c>
      <c r="G33" s="9">
        <f>Inventario40[[#This Row],[Precio]]*Inventario40[[#This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IF(Inventario40[[#This Row],[Cantidad de unidades por bulto]]=0, 0, Inventario40[[#This Row],[Precio por bulto ($)]]/Inventario40[[#This Row],[Cantidad de unidades por bulto]])</f>
        <v>7.05</v>
      </c>
      <c r="G34" s="9">
        <f>Inventario40[[#This Row],[Precio]]*Inventario40[[#This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IF(Inventario40[[#This Row],[Cantidad de unidades por bulto]]=0, 0, Inventario40[[#This Row],[Precio por bulto ($)]]/Inventario40[[#This Row],[Cantidad de unidades por bulto]])</f>
        <v>1.95</v>
      </c>
      <c r="G35" s="9">
        <f>Inventario40[[#This Row],[Precio]]*Inventario40[[#This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IF(Inventario40[[#This Row],[Cantidad de unidades por bulto]]=0, 0, Inventario40[[#This Row],[Precio por bulto ($)]]/Inventario40[[#This Row],[Cantidad de unidades por bulto]])</f>
        <v>0.3</v>
      </c>
      <c r="G36" s="9">
        <f>Inventario40[[#This Row],[Precio]]*Inventario40[[#This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IF(Inventario40[[#This Row],[Cantidad de unidades por bulto]]=0, 0, Inventario40[[#This Row],[Precio por bulto ($)]]/Inventario40[[#This Row],[Cantidad de unidades por bulto]])</f>
        <v>13.5</v>
      </c>
      <c r="G37" s="9">
        <f>Inventario40[[#This Row],[Precio]]*Inventario40[[#This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IF(Inventario40[[#This Row],[Cantidad de unidades por bulto]]=0, 0, Inventario40[[#This Row],[Precio por bulto ($)]]/Inventario40[[#This Row],[Cantidad de unidades por bulto]])</f>
        <v>11</v>
      </c>
      <c r="G38" s="9">
        <f>Inventario40[[#This Row],[Precio]]*Inventario40[[#This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IF(Inventario40[[#This Row],[Cantidad de unidades por bulto]]=0, 0, Inventario40[[#This Row],[Precio por bulto ($)]]/Inventario40[[#This Row],[Cantidad de unidades por bulto]])</f>
        <v>0.5625</v>
      </c>
      <c r="G39" s="9">
        <f>Inventario40[[#This Row],[Precio]]*Inventario40[[#This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IF(Inventario40[[#This Row],[Cantidad de unidades por bulto]]=0, 0, Inventario40[[#This Row],[Precio por bulto ($)]]/Inventario40[[#This Row],[Cantidad de unidades por bulto]])</f>
        <v>2</v>
      </c>
      <c r="G40" s="9">
        <f>Inventario40[[#This Row],[Precio]]*Inventario40[[#This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9ED7B-618E-4138-B5FE-EAEDB121777E}">
  <sheetPr codeName="Hoja39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SUM(Inventario39[Importe])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IF(Inventario39[[#This Row],[Cantidad de unidades por bulto]]=0, 0, Inventario39[[#This Row],[Precio por bulto ($)]]/Inventario39[[#This Row],[Cantidad de unidades por bulto]])</f>
        <v>1.25</v>
      </c>
      <c r="G2" s="9">
        <f>Inventario39[[#This Row],[Precio]]*Inventario39[[#This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IF(Inventario39[[#This Row],[Cantidad de unidades por bulto]]=0, 0, Inventario39[[#This Row],[Precio por bulto ($)]]/Inventario39[[#This Row],[Cantidad de unidades por bulto]])</f>
        <v>1.2250000000000001</v>
      </c>
      <c r="G3" s="9">
        <f>Inventario39[[#This Row],[Precio]]*Inventario39[[#This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IF(Inventario39[[#This Row],[Cantidad de unidades por bulto]]=0, 0, Inventario39[[#This Row],[Precio por bulto ($)]]/Inventario39[[#This Row],[Cantidad de unidades por bulto]])</f>
        <v>0.81</v>
      </c>
      <c r="G4" s="9">
        <f>Inventario39[[#This Row],[Precio]]*Inventario39[[#This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IF(Inventario39[[#This Row],[Cantidad de unidades por bulto]]=0, 0, Inventario39[[#This Row],[Precio por bulto ($)]]/Inventario39[[#This Row],[Cantidad de unidades por bulto]])</f>
        <v>0.8</v>
      </c>
      <c r="G5" s="9">
        <f>Inventario39[[#This Row],[Precio]]*Inventario39[[#This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IF(Inventario39[[#This Row],[Cantidad de unidades por bulto]]=0, 0, Inventario39[[#This Row],[Precio por bulto ($)]]/Inventario39[[#This Row],[Cantidad de unidades por bulto]])</f>
        <v>0.81</v>
      </c>
      <c r="G6" s="9">
        <f>Inventario39[[#This Row],[Precio]]*Inventario39[[#This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IF(Inventario39[[#This Row],[Cantidad de unidades por bulto]]=0, 0, Inventario39[[#This Row],[Precio por bulto ($)]]/Inventario39[[#This Row],[Cantidad de unidades por bulto]])</f>
        <v>0.8773333333333333</v>
      </c>
      <c r="G7" s="9">
        <f>Inventario39[[#This Row],[Precio]]*Inventario39[[#This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IF(Inventario39[[#This Row],[Cantidad de unidades por bulto]]=0, 0, Inventario39[[#This Row],[Precio por bulto ($)]]/Inventario39[[#This Row],[Cantidad de unidades por bulto]])</f>
        <v>0.75</v>
      </c>
      <c r="G8" s="9">
        <f>Inventario39[[#This Row],[Precio]]*Inventario39[[#This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IF(Inventario39[[#This Row],[Cantidad de unidades por bulto]]=0, 0, Inventario39[[#This Row],[Precio por bulto ($)]]/Inventario39[[#This Row],[Cantidad de unidades por bulto]])</f>
        <v>0.75</v>
      </c>
      <c r="G9" s="9">
        <f>Inventario39[[#This Row],[Precio]]*Inventario39[[#This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IF(Inventario39[[#This Row],[Cantidad de unidades por bulto]]=0, 0, Inventario39[[#This Row],[Precio por bulto ($)]]/Inventario39[[#This Row],[Cantidad de unidades por bulto]])</f>
        <v>1.25</v>
      </c>
      <c r="G10" s="9">
        <f>Inventario39[[#This Row],[Precio]]*Inventario39[[#This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IF(Inventario39[[#This Row],[Cantidad de unidades por bulto]]=0, 0, Inventario39[[#This Row],[Precio por bulto ($)]]/Inventario39[[#This Row],[Cantidad de unidades por bulto]])</f>
        <v>11</v>
      </c>
      <c r="G11" s="9">
        <f>Inventario39[[#This Row],[Precio]]*Inventario39[[#This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IF(Inventario39[[#This Row],[Cantidad de unidades por bulto]]=0, 0, Inventario39[[#This Row],[Precio por bulto ($)]]/Inventario39[[#This Row],[Cantidad de unidades por bulto]])</f>
        <v>11</v>
      </c>
      <c r="G12" s="9">
        <f>Inventario39[[#This Row],[Precio]]*Inventario39[[#This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IF(Inventario39[[#This Row],[Cantidad de unidades por bulto]]=0, 0, Inventario39[[#This Row],[Precio por bulto ($)]]/Inventario39[[#This Row],[Cantidad de unidades por bulto]])</f>
        <v>1.25</v>
      </c>
      <c r="G13" s="9">
        <f>Inventario39[[#This Row],[Precio]]*Inventario39[[#This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IF(Inventario39[[#This Row],[Cantidad de unidades por bulto]]=0, 0, Inventario39[[#This Row],[Precio por bulto ($)]]/Inventario39[[#This Row],[Cantidad de unidades por bulto]])</f>
        <v>1.125</v>
      </c>
      <c r="G14" s="9">
        <f>Inventario39[[#This Row],[Precio]]*Inventario39[[#This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IF(Inventario39[[#This Row],[Cantidad de unidades por bulto]]=0, 0, Inventario39[[#This Row],[Precio por bulto ($)]]/Inventario39[[#This Row],[Cantidad de unidades por bulto]])</f>
        <v>0.69916666666666671</v>
      </c>
      <c r="G15" s="9">
        <f>Inventario39[[#This Row],[Precio]]*Inventario39[[#This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IF(Inventario39[[#This Row],[Cantidad de unidades por bulto]]=0, 0, Inventario39[[#This Row],[Precio por bulto ($)]]/Inventario39[[#This Row],[Cantidad de unidades por bulto]])</f>
        <v>1.125</v>
      </c>
      <c r="G16" s="9">
        <f>Inventario39[[#This Row],[Precio]]*Inventario39[[#This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IF(Inventario39[[#This Row],[Cantidad de unidades por bulto]]=0, 0, Inventario39[[#This Row],[Precio por bulto ($)]]/Inventario39[[#This Row],[Cantidad de unidades por bulto]])</f>
        <v>1.125</v>
      </c>
      <c r="G17" s="9">
        <f>Inventario39[[#This Row],[Precio]]*Inventario39[[#This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IF(Inventario39[[#This Row],[Cantidad de unidades por bulto]]=0, 0, Inventario39[[#This Row],[Precio por bulto ($)]]/Inventario39[[#This Row],[Cantidad de unidades por bulto]])</f>
        <v>0.63461538461538458</v>
      </c>
      <c r="G18" s="9">
        <f>Inventario39[[#This Row],[Precio]]*Inventario39[[#This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IF(Inventario39[[#This Row],[Cantidad de unidades por bulto]]=0, 0, Inventario39[[#This Row],[Precio por bulto ($)]]/Inventario39[[#This Row],[Cantidad de unidades por bulto]])</f>
        <v>0.10416666666666667</v>
      </c>
      <c r="G19" s="9">
        <f>Inventario39[[#This Row],[Precio]]*Inventario39[[#This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IF(Inventario39[[#This Row],[Cantidad de unidades por bulto]]=0, 0, Inventario39[[#This Row],[Precio por bulto ($)]]/Inventario39[[#This Row],[Cantidad de unidades por bulto]])</f>
        <v>2.6</v>
      </c>
      <c r="G20" s="9">
        <f>Inventario39[[#This Row],[Precio]]*Inventario39[[#This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IF(Inventario39[[#This Row],[Cantidad de unidades por bulto]]=0, 0, Inventario39[[#This Row],[Precio por bulto ($)]]/Inventario39[[#This Row],[Cantidad de unidades por bulto]])</f>
        <v>0.9</v>
      </c>
      <c r="G21" s="9">
        <f>Inventario39[[#This Row],[Precio]]*Inventario39[[#This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IF(Inventario39[[#This Row],[Cantidad de unidades por bulto]]=0, 0, Inventario39[[#This Row],[Precio por bulto ($)]]/Inventario39[[#This Row],[Cantidad de unidades por bulto]])</f>
        <v>45</v>
      </c>
      <c r="G22" s="9">
        <f>Inventario39[[#This Row],[Precio]]*Inventario39[[#This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IF(Inventario39[[#This Row],[Cantidad de unidades por bulto]]=0, 0, Inventario39[[#This Row],[Precio por bulto ($)]]/Inventario39[[#This Row],[Cantidad de unidades por bulto]])</f>
        <v>1.6</v>
      </c>
      <c r="G23" s="9">
        <f>Inventario39[[#This Row],[Precio]]*Inventario39[[#This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IF(Inventario39[[#This Row],[Cantidad de unidades por bulto]]=0, 0, Inventario39[[#This Row],[Precio por bulto ($)]]/Inventario39[[#This Row],[Cantidad de unidades por bulto]])</f>
        <v>0.22</v>
      </c>
      <c r="G24" s="9">
        <f>Inventario39[[#This Row],[Precio]]*Inventario39[[#This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IF(Inventario39[[#This Row],[Cantidad de unidades por bulto]]=0, 0, Inventario39[[#This Row],[Precio por bulto ($)]]/Inventario39[[#This Row],[Cantidad de unidades por bulto]])</f>
        <v>0.35166666666666663</v>
      </c>
      <c r="G25" s="9">
        <f>Inventario39[[#This Row],[Precio]]*Inventario39[[#This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IF(Inventario39[[#This Row],[Cantidad de unidades por bulto]]=0, 0, Inventario39[[#This Row],[Precio por bulto ($)]]/Inventario39[[#This Row],[Cantidad de unidades por bulto]])</f>
        <v>1.8</v>
      </c>
      <c r="G26" s="9">
        <f>Inventario39[[#This Row],[Precio]]*Inventario39[[#This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IF(Inventario39[[#This Row],[Cantidad de unidades por bulto]]=0, 0, Inventario39[[#This Row],[Precio por bulto ($)]]/Inventario39[[#This Row],[Cantidad de unidades por bulto]])</f>
        <v>3.625</v>
      </c>
      <c r="G27" s="9">
        <f>Inventario39[[#This Row],[Precio]]*Inventario39[[#This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IF(Inventario39[[#This Row],[Cantidad de unidades por bulto]]=0, 0, Inventario39[[#This Row],[Precio por bulto ($)]]/Inventario39[[#This Row],[Cantidad de unidades por bulto]])</f>
        <v>0.52083333333333337</v>
      </c>
      <c r="G28" s="9">
        <f>Inventario39[[#This Row],[Precio]]*Inventario39[[#This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IF(Inventario39[[#This Row],[Cantidad de unidades por bulto]]=0, 0, Inventario39[[#This Row],[Precio por bulto ($)]]/Inventario39[[#This Row],[Cantidad de unidades por bulto]])</f>
        <v>29</v>
      </c>
      <c r="G29" s="9">
        <f>Inventario39[[#This Row],[Precio]]*Inventario39[[#This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IF(Inventario39[[#This Row],[Cantidad de unidades por bulto]]=0, 0, Inventario39[[#This Row],[Precio por bulto ($)]]/Inventario39[[#This Row],[Cantidad de unidades por bulto]])</f>
        <v>0.52083333333333337</v>
      </c>
      <c r="G30" s="9">
        <f>Inventario39[[#This Row],[Precio]]*Inventario39[[#This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IF(Inventario39[[#This Row],[Cantidad de unidades por bulto]]=0, 0, Inventario39[[#This Row],[Precio por bulto ($)]]/Inventario39[[#This Row],[Cantidad de unidades por bulto]])</f>
        <v>0.375</v>
      </c>
      <c r="G31" s="9">
        <f>Inventario39[[#This Row],[Precio]]*Inventario39[[#This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IF(Inventario39[[#This Row],[Cantidad de unidades por bulto]]=0, 0, Inventario39[[#This Row],[Precio por bulto ($)]]/Inventario39[[#This Row],[Cantidad de unidades por bulto]])</f>
        <v>7.05</v>
      </c>
      <c r="G32" s="9">
        <f>Inventario39[[#This Row],[Precio]]*Inventario39[[#This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IF(Inventario39[[#This Row],[Cantidad de unidades por bulto]]=0, 0, Inventario39[[#This Row],[Precio por bulto ($)]]/Inventario39[[#This Row],[Cantidad de unidades por bulto]])</f>
        <v>7.05</v>
      </c>
      <c r="G33" s="9">
        <f>Inventario39[[#This Row],[Precio]]*Inventario39[[#This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IF(Inventario39[[#This Row],[Cantidad de unidades por bulto]]=0, 0, Inventario39[[#This Row],[Precio por bulto ($)]]/Inventario39[[#This Row],[Cantidad de unidades por bulto]])</f>
        <v>7.05</v>
      </c>
      <c r="G34" s="9">
        <f>Inventario39[[#This Row],[Precio]]*Inventario39[[#This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IF(Inventario39[[#This Row],[Cantidad de unidades por bulto]]=0, 0, Inventario39[[#This Row],[Precio por bulto ($)]]/Inventario39[[#This Row],[Cantidad de unidades por bulto]])</f>
        <v>1.95</v>
      </c>
      <c r="G35" s="9">
        <f>Inventario39[[#This Row],[Precio]]*Inventario39[[#This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IF(Inventario39[[#This Row],[Cantidad de unidades por bulto]]=0, 0, Inventario39[[#This Row],[Precio por bulto ($)]]/Inventario39[[#This Row],[Cantidad de unidades por bulto]])</f>
        <v>0.3</v>
      </c>
      <c r="G36" s="9">
        <f>Inventario39[[#This Row],[Precio]]*Inventario39[[#This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IF(Inventario39[[#This Row],[Cantidad de unidades por bulto]]=0, 0, Inventario39[[#This Row],[Precio por bulto ($)]]/Inventario39[[#This Row],[Cantidad de unidades por bulto]])</f>
        <v>13.5</v>
      </c>
      <c r="G37" s="9">
        <f>Inventario39[[#This Row],[Precio]]*Inventario39[[#This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IF(Inventario39[[#This Row],[Cantidad de unidades por bulto]]=0, 0, Inventario39[[#This Row],[Precio por bulto ($)]]/Inventario39[[#This Row],[Cantidad de unidades por bulto]])</f>
        <v>11</v>
      </c>
      <c r="G38" s="9">
        <f>Inventario39[[#This Row],[Precio]]*Inventario39[[#This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IF(Inventario39[[#This Row],[Cantidad de unidades por bulto]]=0, 0, Inventario39[[#This Row],[Precio por bulto ($)]]/Inventario39[[#This Row],[Cantidad de unidades por bulto]])</f>
        <v>0.5625</v>
      </c>
      <c r="G39" s="9">
        <f>Inventario39[[#This Row],[Precio]]*Inventario39[[#This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IF(Inventario39[[#This Row],[Cantidad de unidades por bulto]]=0, 0, Inventario39[[#This Row],[Precio por bulto ($)]]/Inventario39[[#This Row],[Cantidad de unidades por bulto]])</f>
        <v>2</v>
      </c>
      <c r="G40" s="9">
        <f>Inventario39[[#This Row],[Precio]]*Inventario39[[#This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3754A-C95B-4D3E-B60C-8115D8737DC5}">
  <sheetPr codeName="Hoja38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SUM(Inventario38[Importe])</f>
        <v>161.56038461538463</v>
      </c>
    </row>
    <row r="2" spans="1:10" x14ac:dyDescent="0.3">
      <c r="A2" s="1">
        <v>1</v>
      </c>
      <c r="B2" s="2" t="s">
        <v>6</v>
      </c>
      <c r="C2" s="11">
        <v>20</v>
      </c>
      <c r="D2" s="4">
        <v>20</v>
      </c>
      <c r="E2" s="5">
        <v>25</v>
      </c>
      <c r="F2" s="6">
        <f>IF(Inventario38[[#This Row],[Cantidad de unidades por bulto]]=0, 0, Inventario38[[#This Row],[Precio por bulto ($)]]/Inventario38[[#This Row],[Cantidad de unidades por bulto]])</f>
        <v>1.25</v>
      </c>
      <c r="G2" s="9">
        <f>Inventario38[[#This Row],[Precio]]*Inventario38[[#This Row],[Existencia]]</f>
        <v>25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IF(Inventario38[[#This Row],[Cantidad de unidades por bulto]]=0, 0, Inventario38[[#This Row],[Precio por bulto ($)]]/Inventario38[[#This Row],[Cantidad de unidades por bulto]])</f>
        <v>1.2250000000000001</v>
      </c>
      <c r="G3" s="9">
        <f>Inventario38[[#This Row],[Precio]]*Inventario38[[#This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IF(Inventario38[[#This Row],[Cantidad de unidades por bulto]]=0, 0, Inventario38[[#This Row],[Precio por bulto ($)]]/Inventario38[[#This Row],[Cantidad de unidades por bulto]])</f>
        <v>0.81</v>
      </c>
      <c r="G4" s="9">
        <f>Inventario38[[#This Row],[Precio]]*Inventario38[[#This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IF(Inventario38[[#This Row],[Cantidad de unidades por bulto]]=0, 0, Inventario38[[#This Row],[Precio por bulto ($)]]/Inventario38[[#This Row],[Cantidad de unidades por bulto]])</f>
        <v>0.8</v>
      </c>
      <c r="G5" s="9">
        <f>Inventario38[[#This Row],[Precio]]*Inventario38[[#This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IF(Inventario38[[#This Row],[Cantidad de unidades por bulto]]=0, 0, Inventario38[[#This Row],[Precio por bulto ($)]]/Inventario38[[#This Row],[Cantidad de unidades por bulto]])</f>
        <v>0.81</v>
      </c>
      <c r="G6" s="9">
        <f>Inventario38[[#This Row],[Precio]]*Inventario38[[#This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IF(Inventario38[[#This Row],[Cantidad de unidades por bulto]]=0, 0, Inventario38[[#This Row],[Precio por bulto ($)]]/Inventario38[[#This Row],[Cantidad de unidades por bulto]])</f>
        <v>0.8773333333333333</v>
      </c>
      <c r="G7" s="9">
        <f>Inventario38[[#This Row],[Precio]]*Inventario38[[#This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12</v>
      </c>
      <c r="D8" s="4">
        <v>30</v>
      </c>
      <c r="E8" s="5">
        <v>22.5</v>
      </c>
      <c r="F8" s="6">
        <f>IF(Inventario38[[#This Row],[Cantidad de unidades por bulto]]=0, 0, Inventario38[[#This Row],[Precio por bulto ($)]]/Inventario38[[#This Row],[Cantidad de unidades por bulto]])</f>
        <v>0.75</v>
      </c>
      <c r="G8" s="9">
        <f>Inventario38[[#This Row],[Precio]]*Inventario38[[#This Row],[Existencia]]</f>
        <v>9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1</v>
      </c>
      <c r="D9" s="17">
        <v>30</v>
      </c>
      <c r="E9" s="14">
        <v>22.5</v>
      </c>
      <c r="F9" s="6">
        <f>IF(Inventario38[[#This Row],[Cantidad de unidades por bulto]]=0, 0, Inventario38[[#This Row],[Precio por bulto ($)]]/Inventario38[[#This Row],[Cantidad de unidades por bulto]])</f>
        <v>0.75</v>
      </c>
      <c r="G9" s="9">
        <f>Inventario38[[#This Row],[Precio]]*Inventario38[[#This Row],[Existencia]]</f>
        <v>0.75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IF(Inventario38[[#This Row],[Cantidad de unidades por bulto]]=0, 0, Inventario38[[#This Row],[Precio por bulto ($)]]/Inventario38[[#This Row],[Cantidad de unidades por bulto]])</f>
        <v>1.25</v>
      </c>
      <c r="G10" s="9">
        <f>Inventario38[[#This Row],[Precio]]*Inventario38[[#This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IF(Inventario38[[#This Row],[Cantidad de unidades por bulto]]=0, 0, Inventario38[[#This Row],[Precio por bulto ($)]]/Inventario38[[#This Row],[Cantidad de unidades por bulto]])</f>
        <v>11</v>
      </c>
      <c r="G11" s="9">
        <f>Inventario38[[#This Row],[Precio]]*Inventario38[[#This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IF(Inventario38[[#This Row],[Cantidad de unidades por bulto]]=0, 0, Inventario38[[#This Row],[Precio por bulto ($)]]/Inventario38[[#This Row],[Cantidad de unidades por bulto]])</f>
        <v>11</v>
      </c>
      <c r="G12" s="9">
        <f>Inventario38[[#This Row],[Precio]]*Inventario38[[#This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IF(Inventario38[[#This Row],[Cantidad de unidades por bulto]]=0, 0, Inventario38[[#This Row],[Precio por bulto ($)]]/Inventario38[[#This Row],[Cantidad de unidades por bulto]])</f>
        <v>1.25</v>
      </c>
      <c r="G13" s="9">
        <f>Inventario38[[#This Row],[Precio]]*Inventario38[[#This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12</v>
      </c>
      <c r="D14" s="4">
        <v>12</v>
      </c>
      <c r="E14" s="5">
        <v>13.5</v>
      </c>
      <c r="F14" s="6">
        <f>IF(Inventario38[[#This Row],[Cantidad de unidades por bulto]]=0, 0, Inventario38[[#This Row],[Precio por bulto ($)]]/Inventario38[[#This Row],[Cantidad de unidades por bulto]])</f>
        <v>1.125</v>
      </c>
      <c r="G14" s="9">
        <f>Inventario38[[#This Row],[Precio]]*Inventario38[[#This Row],[Existencia]]</f>
        <v>13.5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IF(Inventario38[[#This Row],[Cantidad de unidades por bulto]]=0, 0, Inventario38[[#This Row],[Precio por bulto ($)]]/Inventario38[[#This Row],[Cantidad de unidades por bulto]])</f>
        <v>0.69916666666666671</v>
      </c>
      <c r="G15" s="9">
        <f>Inventario38[[#This Row],[Precio]]*Inventario38[[#This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IF(Inventario38[[#This Row],[Cantidad de unidades por bulto]]=0, 0, Inventario38[[#This Row],[Precio por bulto ($)]]/Inventario38[[#This Row],[Cantidad de unidades por bulto]])</f>
        <v>1.125</v>
      </c>
      <c r="G16" s="9">
        <f>Inventario38[[#This Row],[Precio]]*Inventario38[[#This Row],[Existencia]]</f>
        <v>0</v>
      </c>
    </row>
    <row r="17" spans="1:7" x14ac:dyDescent="0.3">
      <c r="A17" s="15">
        <v>31</v>
      </c>
      <c r="B17" s="2" t="s">
        <v>44</v>
      </c>
      <c r="C17" s="11">
        <v>5</v>
      </c>
      <c r="D17" s="4">
        <v>12</v>
      </c>
      <c r="E17" s="14">
        <v>13.5</v>
      </c>
      <c r="F17" s="6">
        <f>IF(Inventario38[[#This Row],[Cantidad de unidades por bulto]]=0, 0, Inventario38[[#This Row],[Precio por bulto ($)]]/Inventario38[[#This Row],[Cantidad de unidades por bulto]])</f>
        <v>1.125</v>
      </c>
      <c r="G17" s="9">
        <f>Inventario38[[#This Row],[Precio]]*Inventario38[[#This Row],[Existencia]]</f>
        <v>5.625</v>
      </c>
    </row>
    <row r="18" spans="1:7" x14ac:dyDescent="0.3">
      <c r="A18" s="1">
        <v>11</v>
      </c>
      <c r="B18" s="2" t="s">
        <v>18</v>
      </c>
      <c r="C18" s="11">
        <v>12</v>
      </c>
      <c r="D18" s="4">
        <v>26</v>
      </c>
      <c r="E18" s="5">
        <v>16.5</v>
      </c>
      <c r="F18" s="6">
        <f>IF(Inventario38[[#This Row],[Cantidad de unidades por bulto]]=0, 0, Inventario38[[#This Row],[Precio por bulto ($)]]/Inventario38[[#This Row],[Cantidad de unidades por bulto]])</f>
        <v>0.63461538461538458</v>
      </c>
      <c r="G18" s="9">
        <f>Inventario38[[#This Row],[Precio]]*Inventario38[[#This Row],[Existencia]]</f>
        <v>7.615384615384615</v>
      </c>
    </row>
    <row r="19" spans="1:7" x14ac:dyDescent="0.3">
      <c r="A19" s="1">
        <v>12</v>
      </c>
      <c r="B19" s="2" t="s">
        <v>19</v>
      </c>
      <c r="C19" s="11">
        <v>26</v>
      </c>
      <c r="D19" s="4">
        <v>120</v>
      </c>
      <c r="E19" s="5">
        <v>12.5</v>
      </c>
      <c r="F19" s="6">
        <f>IF(Inventario38[[#This Row],[Cantidad de unidades por bulto]]=0, 0, Inventario38[[#This Row],[Precio por bulto ($)]]/Inventario38[[#This Row],[Cantidad de unidades por bulto]])</f>
        <v>0.10416666666666667</v>
      </c>
      <c r="G19" s="9">
        <f>Inventario38[[#This Row],[Precio]]*Inventario38[[#This Row],[Existencia]]</f>
        <v>2.7083333333333335</v>
      </c>
    </row>
    <row r="20" spans="1:7" x14ac:dyDescent="0.3">
      <c r="A20" s="1">
        <v>13</v>
      </c>
      <c r="B20" s="10" t="s">
        <v>20</v>
      </c>
      <c r="C20" s="11">
        <v>10</v>
      </c>
      <c r="D20" s="4">
        <v>30</v>
      </c>
      <c r="E20" s="5">
        <v>78</v>
      </c>
      <c r="F20" s="6">
        <f>IF(Inventario38[[#This Row],[Cantidad de unidades por bulto]]=0, 0, Inventario38[[#This Row],[Precio por bulto ($)]]/Inventario38[[#This Row],[Cantidad de unidades por bulto]])</f>
        <v>2.6</v>
      </c>
      <c r="G20" s="9">
        <f>Inventario38[[#This Row],[Precio]]*Inventario38[[#This Row],[Existencia]]</f>
        <v>26</v>
      </c>
    </row>
    <row r="21" spans="1:7" x14ac:dyDescent="0.3">
      <c r="A21" s="1">
        <v>14</v>
      </c>
      <c r="B21" s="2" t="s">
        <v>21</v>
      </c>
      <c r="C21" s="11">
        <v>1</v>
      </c>
      <c r="D21" s="4">
        <v>10</v>
      </c>
      <c r="E21" s="5">
        <v>9</v>
      </c>
      <c r="F21" s="6">
        <f>IF(Inventario38[[#This Row],[Cantidad de unidades por bulto]]=0, 0, Inventario38[[#This Row],[Precio por bulto ($)]]/Inventario38[[#This Row],[Cantidad de unidades por bulto]])</f>
        <v>0.9</v>
      </c>
      <c r="G21" s="9">
        <f>Inventario38[[#This Row],[Precio]]*Inventario38[[#This Row],[Existencia]]</f>
        <v>0.9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IF(Inventario38[[#This Row],[Cantidad de unidades por bulto]]=0, 0, Inventario38[[#This Row],[Precio por bulto ($)]]/Inventario38[[#This Row],[Cantidad de unidades por bulto]])</f>
        <v>45</v>
      </c>
      <c r="G22" s="9">
        <f>Inventario38[[#This Row],[Precio]]*Inventario38[[#This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IF(Inventario38[[#This Row],[Cantidad de unidades por bulto]]=0, 0, Inventario38[[#This Row],[Precio por bulto ($)]]/Inventario38[[#This Row],[Cantidad de unidades por bulto]])</f>
        <v>1.6</v>
      </c>
      <c r="G23" s="9">
        <f>Inventario38[[#This Row],[Precio]]*Inventario38[[#This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IF(Inventario38[[#This Row],[Cantidad de unidades por bulto]]=0, 0, Inventario38[[#This Row],[Precio por bulto ($)]]/Inventario38[[#This Row],[Cantidad de unidades por bulto]])</f>
        <v>0.22</v>
      </c>
      <c r="G24" s="9">
        <f>Inventario38[[#This Row],[Precio]]*Inventario38[[#This Row],[Existencia]]</f>
        <v>0</v>
      </c>
    </row>
    <row r="25" spans="1:7" x14ac:dyDescent="0.3">
      <c r="A25" s="1">
        <v>17</v>
      </c>
      <c r="B25" s="2" t="s">
        <v>24</v>
      </c>
      <c r="C25" s="11">
        <v>12</v>
      </c>
      <c r="D25" s="4">
        <v>12</v>
      </c>
      <c r="E25" s="5">
        <v>4.22</v>
      </c>
      <c r="F25" s="6">
        <f>IF(Inventario38[[#This Row],[Cantidad de unidades por bulto]]=0, 0, Inventario38[[#This Row],[Precio por bulto ($)]]/Inventario38[[#This Row],[Cantidad de unidades por bulto]])</f>
        <v>0.35166666666666663</v>
      </c>
      <c r="G25" s="9">
        <f>Inventario38[[#This Row],[Precio]]*Inventario38[[#This Row],[Existencia]]</f>
        <v>4.22</v>
      </c>
    </row>
    <row r="26" spans="1:7" x14ac:dyDescent="0.3">
      <c r="A26" s="1">
        <v>18</v>
      </c>
      <c r="B26" s="2" t="s">
        <v>25</v>
      </c>
      <c r="C26" s="11">
        <v>9</v>
      </c>
      <c r="D26" s="4">
        <v>25</v>
      </c>
      <c r="E26" s="5">
        <v>45</v>
      </c>
      <c r="F26" s="6">
        <f>IF(Inventario38[[#This Row],[Cantidad de unidades por bulto]]=0, 0, Inventario38[[#This Row],[Precio por bulto ($)]]/Inventario38[[#This Row],[Cantidad de unidades por bulto]])</f>
        <v>1.8</v>
      </c>
      <c r="G26" s="9">
        <f>Inventario38[[#This Row],[Precio]]*Inventario38[[#This Row],[Existencia]]</f>
        <v>16.2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IF(Inventario38[[#This Row],[Cantidad de unidades por bulto]]=0, 0, Inventario38[[#This Row],[Precio por bulto ($)]]/Inventario38[[#This Row],[Cantidad de unidades por bulto]])</f>
        <v>3.625</v>
      </c>
      <c r="G27" s="9">
        <f>Inventario38[[#This Row],[Precio]]*Inventario38[[#This Row],[Existencia]]</f>
        <v>0</v>
      </c>
    </row>
    <row r="28" spans="1:7" x14ac:dyDescent="0.3">
      <c r="A28" s="1">
        <v>20</v>
      </c>
      <c r="B28" s="10" t="s">
        <v>27</v>
      </c>
      <c r="C28" s="11">
        <v>20</v>
      </c>
      <c r="D28" s="4">
        <v>24</v>
      </c>
      <c r="E28" s="5">
        <v>12.5</v>
      </c>
      <c r="F28" s="6">
        <f>IF(Inventario38[[#This Row],[Cantidad de unidades por bulto]]=0, 0, Inventario38[[#This Row],[Precio por bulto ($)]]/Inventario38[[#This Row],[Cantidad de unidades por bulto]])</f>
        <v>0.52083333333333337</v>
      </c>
      <c r="G28" s="9">
        <f>Inventario38[[#This Row],[Precio]]*Inventario38[[#This Row],[Existencia]]</f>
        <v>10.416666666666668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IF(Inventario38[[#This Row],[Cantidad de unidades por bulto]]=0, 0, Inventario38[[#This Row],[Precio por bulto ($)]]/Inventario38[[#This Row],[Cantidad de unidades por bulto]])</f>
        <v>29</v>
      </c>
      <c r="G29" s="9">
        <f>Inventario38[[#This Row],[Precio]]*Inventario38[[#This Row],[Existencia]]</f>
        <v>0</v>
      </c>
    </row>
    <row r="30" spans="1:7" x14ac:dyDescent="0.3">
      <c r="A30" s="1">
        <v>21</v>
      </c>
      <c r="B30" s="2" t="s">
        <v>28</v>
      </c>
      <c r="C30" s="11">
        <v>33</v>
      </c>
      <c r="D30" s="4">
        <v>24</v>
      </c>
      <c r="E30" s="5">
        <v>12.5</v>
      </c>
      <c r="F30" s="6">
        <f>IF(Inventario38[[#This Row],[Cantidad de unidades por bulto]]=0, 0, Inventario38[[#This Row],[Precio por bulto ($)]]/Inventario38[[#This Row],[Cantidad de unidades por bulto]])</f>
        <v>0.52083333333333337</v>
      </c>
      <c r="G30" s="9">
        <f>Inventario38[[#This Row],[Precio]]*Inventario38[[#This Row],[Existencia]]</f>
        <v>17.1875</v>
      </c>
    </row>
    <row r="31" spans="1:7" x14ac:dyDescent="0.3">
      <c r="A31" s="15">
        <v>7896102509434</v>
      </c>
      <c r="B31" s="2" t="s">
        <v>40</v>
      </c>
      <c r="C31" s="16">
        <v>20</v>
      </c>
      <c r="D31" s="17">
        <v>24</v>
      </c>
      <c r="E31" s="14">
        <v>9</v>
      </c>
      <c r="F31" s="6">
        <f>IF(Inventario38[[#This Row],[Cantidad de unidades por bulto]]=0, 0, Inventario38[[#This Row],[Precio por bulto ($)]]/Inventario38[[#This Row],[Cantidad de unidades por bulto]])</f>
        <v>0.375</v>
      </c>
      <c r="G31" s="9">
        <f>Inventario38[[#This Row],[Precio]]*Inventario38[[#This Row],[Existencia]]</f>
        <v>7.5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IF(Inventario38[[#This Row],[Cantidad de unidades por bulto]]=0, 0, Inventario38[[#This Row],[Precio por bulto ($)]]/Inventario38[[#This Row],[Cantidad de unidades por bulto]])</f>
        <v>7.05</v>
      </c>
      <c r="G32" s="9">
        <f>Inventario38[[#This Row],[Precio]]*Inventario38[[#This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IF(Inventario38[[#This Row],[Cantidad de unidades por bulto]]=0, 0, Inventario38[[#This Row],[Precio por bulto ($)]]/Inventario38[[#This Row],[Cantidad de unidades por bulto]])</f>
        <v>7.05</v>
      </c>
      <c r="G33" s="9">
        <f>Inventario38[[#This Row],[Precio]]*Inventario38[[#This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IF(Inventario38[[#This Row],[Cantidad de unidades por bulto]]=0, 0, Inventario38[[#This Row],[Precio por bulto ($)]]/Inventario38[[#This Row],[Cantidad de unidades por bulto]])</f>
        <v>7.05</v>
      </c>
      <c r="G34" s="9">
        <f>Inventario38[[#This Row],[Precio]]*Inventario38[[#This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IF(Inventario38[[#This Row],[Cantidad de unidades por bulto]]=0, 0, Inventario38[[#This Row],[Precio por bulto ($)]]/Inventario38[[#This Row],[Cantidad de unidades por bulto]])</f>
        <v>1.95</v>
      </c>
      <c r="G35" s="9">
        <f>Inventario38[[#This Row],[Precio]]*Inventario38[[#This Row],[Existencia]]</f>
        <v>0</v>
      </c>
    </row>
    <row r="36" spans="1:7" x14ac:dyDescent="0.3">
      <c r="A36" s="1">
        <v>26</v>
      </c>
      <c r="B36" s="10" t="s">
        <v>33</v>
      </c>
      <c r="C36" s="11">
        <v>10</v>
      </c>
      <c r="D36" s="4">
        <v>30</v>
      </c>
      <c r="E36" s="5">
        <v>9</v>
      </c>
      <c r="F36" s="6">
        <f>IF(Inventario38[[#This Row],[Cantidad de unidades por bulto]]=0, 0, Inventario38[[#This Row],[Precio por bulto ($)]]/Inventario38[[#This Row],[Cantidad de unidades por bulto]])</f>
        <v>0.3</v>
      </c>
      <c r="G36" s="9">
        <f>Inventario38[[#This Row],[Precio]]*Inventario38[[#This Row],[Existencia]]</f>
        <v>3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IF(Inventario38[[#This Row],[Cantidad de unidades por bulto]]=0, 0, Inventario38[[#This Row],[Precio por bulto ($)]]/Inventario38[[#This Row],[Cantidad de unidades por bulto]])</f>
        <v>13.5</v>
      </c>
      <c r="G37" s="9">
        <f>Inventario38[[#This Row],[Precio]]*Inventario38[[#This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IF(Inventario38[[#This Row],[Cantidad de unidades por bulto]]=0, 0, Inventario38[[#This Row],[Precio por bulto ($)]]/Inventario38[[#This Row],[Cantidad de unidades por bulto]])</f>
        <v>11</v>
      </c>
      <c r="G38" s="9">
        <f>Inventario38[[#This Row],[Precio]]*Inventario38[[#This Row],[Existencia]]</f>
        <v>0</v>
      </c>
    </row>
    <row r="39" spans="1:7" x14ac:dyDescent="0.3">
      <c r="A39" s="1">
        <v>28</v>
      </c>
      <c r="B39" s="10" t="s">
        <v>35</v>
      </c>
      <c r="C39" s="11">
        <v>7</v>
      </c>
      <c r="D39" s="4">
        <v>24</v>
      </c>
      <c r="E39" s="5">
        <v>13.5</v>
      </c>
      <c r="F39" s="6">
        <f>IF(Inventario38[[#This Row],[Cantidad de unidades por bulto]]=0, 0, Inventario38[[#This Row],[Precio por bulto ($)]]/Inventario38[[#This Row],[Cantidad de unidades por bulto]])</f>
        <v>0.5625</v>
      </c>
      <c r="G39" s="9">
        <f>Inventario38[[#This Row],[Precio]]*Inventario38[[#This Row],[Existencia]]</f>
        <v>3.9375</v>
      </c>
    </row>
    <row r="40" spans="1:7" x14ac:dyDescent="0.3">
      <c r="A40" s="15">
        <v>35</v>
      </c>
      <c r="B40" s="2" t="s">
        <v>48</v>
      </c>
      <c r="C40" s="11">
        <v>4</v>
      </c>
      <c r="D40" s="4">
        <v>6</v>
      </c>
      <c r="E40" s="14">
        <v>12</v>
      </c>
      <c r="F40" s="6">
        <f>IF(Inventario38[[#This Row],[Cantidad de unidades por bulto]]=0, 0, Inventario38[[#This Row],[Precio por bulto ($)]]/Inventario38[[#This Row],[Cantidad de unidades por bulto]])</f>
        <v>2</v>
      </c>
      <c r="G40" s="9">
        <f>Inventario38[[#This Row],[Precio]]*Inventario38[[#This Row],[Existencia]]</f>
        <v>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ECD2B-7CE2-447D-8D00-A7D1F2774B99}">
  <sheetPr codeName="Hoja37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SUM(Inventario37[Importe])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IF(Inventario37[[#This Row],[Cantidad de unidades por bulto]]=0, 0, Inventario37[[#This Row],[Precio por bulto ($)]]/Inventario37[[#This Row],[Cantidad de unidades por bulto]])</f>
        <v>1.25</v>
      </c>
      <c r="G2" s="9">
        <f>Inventario37[[#This Row],[Precio]]*Inventario37[[#This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IF(Inventario37[[#This Row],[Cantidad de unidades por bulto]]=0, 0, Inventario37[[#This Row],[Precio por bulto ($)]]/Inventario37[[#This Row],[Cantidad de unidades por bulto]])</f>
        <v>1.2250000000000001</v>
      </c>
      <c r="G3" s="9">
        <f>Inventario37[[#This Row],[Precio]]*Inventario37[[#This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IF(Inventario37[[#This Row],[Cantidad de unidades por bulto]]=0, 0, Inventario37[[#This Row],[Precio por bulto ($)]]/Inventario37[[#This Row],[Cantidad de unidades por bulto]])</f>
        <v>0.81</v>
      </c>
      <c r="G4" s="9">
        <f>Inventario37[[#This Row],[Precio]]*Inventario37[[#This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IF(Inventario37[[#This Row],[Cantidad de unidades por bulto]]=0, 0, Inventario37[[#This Row],[Precio por bulto ($)]]/Inventario37[[#This Row],[Cantidad de unidades por bulto]])</f>
        <v>0.8</v>
      </c>
      <c r="G5" s="9">
        <f>Inventario37[[#This Row],[Precio]]*Inventario37[[#This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IF(Inventario37[[#This Row],[Cantidad de unidades por bulto]]=0, 0, Inventario37[[#This Row],[Precio por bulto ($)]]/Inventario37[[#This Row],[Cantidad de unidades por bulto]])</f>
        <v>0.81</v>
      </c>
      <c r="G6" s="9">
        <f>Inventario37[[#This Row],[Precio]]*Inventario37[[#This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IF(Inventario37[[#This Row],[Cantidad de unidades por bulto]]=0, 0, Inventario37[[#This Row],[Precio por bulto ($)]]/Inventario37[[#This Row],[Cantidad de unidades por bulto]])</f>
        <v>0.8773333333333333</v>
      </c>
      <c r="G7" s="9">
        <f>Inventario37[[#This Row],[Precio]]*Inventario37[[#This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IF(Inventario37[[#This Row],[Cantidad de unidades por bulto]]=0, 0, Inventario37[[#This Row],[Precio por bulto ($)]]/Inventario37[[#This Row],[Cantidad de unidades por bulto]])</f>
        <v>0.75</v>
      </c>
      <c r="G8" s="9">
        <f>Inventario37[[#This Row],[Precio]]*Inventario37[[#This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IF(Inventario37[[#This Row],[Cantidad de unidades por bulto]]=0, 0, Inventario37[[#This Row],[Precio por bulto ($)]]/Inventario37[[#This Row],[Cantidad de unidades por bulto]])</f>
        <v>0.75</v>
      </c>
      <c r="G9" s="9">
        <f>Inventario37[[#This Row],[Precio]]*Inventario37[[#This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IF(Inventario37[[#This Row],[Cantidad de unidades por bulto]]=0, 0, Inventario37[[#This Row],[Precio por bulto ($)]]/Inventario37[[#This Row],[Cantidad de unidades por bulto]])</f>
        <v>1.25</v>
      </c>
      <c r="G10" s="9">
        <f>Inventario37[[#This Row],[Precio]]*Inventario37[[#This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IF(Inventario37[[#This Row],[Cantidad de unidades por bulto]]=0, 0, Inventario37[[#This Row],[Precio por bulto ($)]]/Inventario37[[#This Row],[Cantidad de unidades por bulto]])</f>
        <v>11</v>
      </c>
      <c r="G11" s="9">
        <f>Inventario37[[#This Row],[Precio]]*Inventario37[[#This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IF(Inventario37[[#This Row],[Cantidad de unidades por bulto]]=0, 0, Inventario37[[#This Row],[Precio por bulto ($)]]/Inventario37[[#This Row],[Cantidad de unidades por bulto]])</f>
        <v>11</v>
      </c>
      <c r="G12" s="9">
        <f>Inventario37[[#This Row],[Precio]]*Inventario37[[#This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IF(Inventario37[[#This Row],[Cantidad de unidades por bulto]]=0, 0, Inventario37[[#This Row],[Precio por bulto ($)]]/Inventario37[[#This Row],[Cantidad de unidades por bulto]])</f>
        <v>1.25</v>
      </c>
      <c r="G13" s="9">
        <f>Inventario37[[#This Row],[Precio]]*Inventario37[[#This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IF(Inventario37[[#This Row],[Cantidad de unidades por bulto]]=0, 0, Inventario37[[#This Row],[Precio por bulto ($)]]/Inventario37[[#This Row],[Cantidad de unidades por bulto]])</f>
        <v>1.125</v>
      </c>
      <c r="G14" s="9">
        <f>Inventario37[[#This Row],[Precio]]*Inventario37[[#This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IF(Inventario37[[#This Row],[Cantidad de unidades por bulto]]=0, 0, Inventario37[[#This Row],[Precio por bulto ($)]]/Inventario37[[#This Row],[Cantidad de unidades por bulto]])</f>
        <v>0.69916666666666671</v>
      </c>
      <c r="G15" s="9">
        <f>Inventario37[[#This Row],[Precio]]*Inventario37[[#This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IF(Inventario37[[#This Row],[Cantidad de unidades por bulto]]=0, 0, Inventario37[[#This Row],[Precio por bulto ($)]]/Inventario37[[#This Row],[Cantidad de unidades por bulto]])</f>
        <v>1.125</v>
      </c>
      <c r="G16" s="9">
        <f>Inventario37[[#This Row],[Precio]]*Inventario37[[#This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IF(Inventario37[[#This Row],[Cantidad de unidades por bulto]]=0, 0, Inventario37[[#This Row],[Precio por bulto ($)]]/Inventario37[[#This Row],[Cantidad de unidades por bulto]])</f>
        <v>1.125</v>
      </c>
      <c r="G17" s="9">
        <f>Inventario37[[#This Row],[Precio]]*Inventario37[[#This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IF(Inventario37[[#This Row],[Cantidad de unidades por bulto]]=0, 0, Inventario37[[#This Row],[Precio por bulto ($)]]/Inventario37[[#This Row],[Cantidad de unidades por bulto]])</f>
        <v>0.63461538461538458</v>
      </c>
      <c r="G18" s="9">
        <f>Inventario37[[#This Row],[Precio]]*Inventario37[[#This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IF(Inventario37[[#This Row],[Cantidad de unidades por bulto]]=0, 0, Inventario37[[#This Row],[Precio por bulto ($)]]/Inventario37[[#This Row],[Cantidad de unidades por bulto]])</f>
        <v>0.10416666666666667</v>
      </c>
      <c r="G19" s="9">
        <f>Inventario37[[#This Row],[Precio]]*Inventario37[[#This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IF(Inventario37[[#This Row],[Cantidad de unidades por bulto]]=0, 0, Inventario37[[#This Row],[Precio por bulto ($)]]/Inventario37[[#This Row],[Cantidad de unidades por bulto]])</f>
        <v>2.6</v>
      </c>
      <c r="G20" s="9">
        <f>Inventario37[[#This Row],[Precio]]*Inventario37[[#This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IF(Inventario37[[#This Row],[Cantidad de unidades por bulto]]=0, 0, Inventario37[[#This Row],[Precio por bulto ($)]]/Inventario37[[#This Row],[Cantidad de unidades por bulto]])</f>
        <v>0.9</v>
      </c>
      <c r="G21" s="9">
        <f>Inventario37[[#This Row],[Precio]]*Inventario37[[#This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IF(Inventario37[[#This Row],[Cantidad de unidades por bulto]]=0, 0, Inventario37[[#This Row],[Precio por bulto ($)]]/Inventario37[[#This Row],[Cantidad de unidades por bulto]])</f>
        <v>45</v>
      </c>
      <c r="G22" s="9">
        <f>Inventario37[[#This Row],[Precio]]*Inventario37[[#This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IF(Inventario37[[#This Row],[Cantidad de unidades por bulto]]=0, 0, Inventario37[[#This Row],[Precio por bulto ($)]]/Inventario37[[#This Row],[Cantidad de unidades por bulto]])</f>
        <v>1.6</v>
      </c>
      <c r="G23" s="9">
        <f>Inventario37[[#This Row],[Precio]]*Inventario37[[#This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IF(Inventario37[[#This Row],[Cantidad de unidades por bulto]]=0, 0, Inventario37[[#This Row],[Precio por bulto ($)]]/Inventario37[[#This Row],[Cantidad de unidades por bulto]])</f>
        <v>0.22</v>
      </c>
      <c r="G24" s="9">
        <f>Inventario37[[#This Row],[Precio]]*Inventario37[[#This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IF(Inventario37[[#This Row],[Cantidad de unidades por bulto]]=0, 0, Inventario37[[#This Row],[Precio por bulto ($)]]/Inventario37[[#This Row],[Cantidad de unidades por bulto]])</f>
        <v>0.35166666666666663</v>
      </c>
      <c r="G25" s="9">
        <f>Inventario37[[#This Row],[Precio]]*Inventario37[[#This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IF(Inventario37[[#This Row],[Cantidad de unidades por bulto]]=0, 0, Inventario37[[#This Row],[Precio por bulto ($)]]/Inventario37[[#This Row],[Cantidad de unidades por bulto]])</f>
        <v>1.8</v>
      </c>
      <c r="G26" s="9">
        <f>Inventario37[[#This Row],[Precio]]*Inventario37[[#This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IF(Inventario37[[#This Row],[Cantidad de unidades por bulto]]=0, 0, Inventario37[[#This Row],[Precio por bulto ($)]]/Inventario37[[#This Row],[Cantidad de unidades por bulto]])</f>
        <v>3.625</v>
      </c>
      <c r="G27" s="9">
        <f>Inventario37[[#This Row],[Precio]]*Inventario37[[#This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IF(Inventario37[[#This Row],[Cantidad de unidades por bulto]]=0, 0, Inventario37[[#This Row],[Precio por bulto ($)]]/Inventario37[[#This Row],[Cantidad de unidades por bulto]])</f>
        <v>0.52083333333333337</v>
      </c>
      <c r="G28" s="9">
        <f>Inventario37[[#This Row],[Precio]]*Inventario37[[#This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IF(Inventario37[[#This Row],[Cantidad de unidades por bulto]]=0, 0, Inventario37[[#This Row],[Precio por bulto ($)]]/Inventario37[[#This Row],[Cantidad de unidades por bulto]])</f>
        <v>29</v>
      </c>
      <c r="G29" s="9">
        <f>Inventario37[[#This Row],[Precio]]*Inventario37[[#This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IF(Inventario37[[#This Row],[Cantidad de unidades por bulto]]=0, 0, Inventario37[[#This Row],[Precio por bulto ($)]]/Inventario37[[#This Row],[Cantidad de unidades por bulto]])</f>
        <v>0.52083333333333337</v>
      </c>
      <c r="G30" s="9">
        <f>Inventario37[[#This Row],[Precio]]*Inventario37[[#This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IF(Inventario37[[#This Row],[Cantidad de unidades por bulto]]=0, 0, Inventario37[[#This Row],[Precio por bulto ($)]]/Inventario37[[#This Row],[Cantidad de unidades por bulto]])</f>
        <v>0.375</v>
      </c>
      <c r="G31" s="9">
        <f>Inventario37[[#This Row],[Precio]]*Inventario37[[#This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IF(Inventario37[[#This Row],[Cantidad de unidades por bulto]]=0, 0, Inventario37[[#This Row],[Precio por bulto ($)]]/Inventario37[[#This Row],[Cantidad de unidades por bulto]])</f>
        <v>7.05</v>
      </c>
      <c r="G32" s="9">
        <f>Inventario37[[#This Row],[Precio]]*Inventario37[[#This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IF(Inventario37[[#This Row],[Cantidad de unidades por bulto]]=0, 0, Inventario37[[#This Row],[Precio por bulto ($)]]/Inventario37[[#This Row],[Cantidad de unidades por bulto]])</f>
        <v>7.05</v>
      </c>
      <c r="G33" s="9">
        <f>Inventario37[[#This Row],[Precio]]*Inventario37[[#This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IF(Inventario37[[#This Row],[Cantidad de unidades por bulto]]=0, 0, Inventario37[[#This Row],[Precio por bulto ($)]]/Inventario37[[#This Row],[Cantidad de unidades por bulto]])</f>
        <v>7.05</v>
      </c>
      <c r="G34" s="9">
        <f>Inventario37[[#This Row],[Precio]]*Inventario37[[#This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IF(Inventario37[[#This Row],[Cantidad de unidades por bulto]]=0, 0, Inventario37[[#This Row],[Precio por bulto ($)]]/Inventario37[[#This Row],[Cantidad de unidades por bulto]])</f>
        <v>1.95</v>
      </c>
      <c r="G35" s="9">
        <f>Inventario37[[#This Row],[Precio]]*Inventario37[[#This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IF(Inventario37[[#This Row],[Cantidad de unidades por bulto]]=0, 0, Inventario37[[#This Row],[Precio por bulto ($)]]/Inventario37[[#This Row],[Cantidad de unidades por bulto]])</f>
        <v>0.3</v>
      </c>
      <c r="G36" s="9">
        <f>Inventario37[[#This Row],[Precio]]*Inventario37[[#This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IF(Inventario37[[#This Row],[Cantidad de unidades por bulto]]=0, 0, Inventario37[[#This Row],[Precio por bulto ($)]]/Inventario37[[#This Row],[Cantidad de unidades por bulto]])</f>
        <v>13.5</v>
      </c>
      <c r="G37" s="9">
        <f>Inventario37[[#This Row],[Precio]]*Inventario37[[#This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IF(Inventario37[[#This Row],[Cantidad de unidades por bulto]]=0, 0, Inventario37[[#This Row],[Precio por bulto ($)]]/Inventario37[[#This Row],[Cantidad de unidades por bulto]])</f>
        <v>11</v>
      </c>
      <c r="G38" s="9">
        <f>Inventario37[[#This Row],[Precio]]*Inventario37[[#This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IF(Inventario37[[#This Row],[Cantidad de unidades por bulto]]=0, 0, Inventario37[[#This Row],[Precio por bulto ($)]]/Inventario37[[#This Row],[Cantidad de unidades por bulto]])</f>
        <v>0.5625</v>
      </c>
      <c r="G39" s="9">
        <f>Inventario37[[#This Row],[Precio]]*Inventario37[[#This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IF(Inventario37[[#This Row],[Cantidad de unidades por bulto]]=0, 0, Inventario37[[#This Row],[Precio por bulto ($)]]/Inventario37[[#This Row],[Cantidad de unidades por bulto]])</f>
        <v>2</v>
      </c>
      <c r="G40" s="9">
        <f>Inventario37[[#This Row],[Precio]]*Inventario37[[#This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9160D-5C47-4E8C-8BA0-FFA04DFBFD3D}">
  <sheetPr codeName="Hoja36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SUM(Inventario36[Importe])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IF(Inventario36[[#This Row],[Cantidad de unidades por bulto]]=0, 0, Inventario36[[#This Row],[Precio por bulto ($)]]/Inventario36[[#This Row],[Cantidad de unidades por bulto]])</f>
        <v>1.25</v>
      </c>
      <c r="G2" s="9">
        <f>Inventario36[[#This Row],[Precio]]*Inventario36[[#This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IF(Inventario36[[#This Row],[Cantidad de unidades por bulto]]=0, 0, Inventario36[[#This Row],[Precio por bulto ($)]]/Inventario36[[#This Row],[Cantidad de unidades por bulto]])</f>
        <v>1.2250000000000001</v>
      </c>
      <c r="G3" s="9">
        <f>Inventario36[[#This Row],[Precio]]*Inventario36[[#This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IF(Inventario36[[#This Row],[Cantidad de unidades por bulto]]=0, 0, Inventario36[[#This Row],[Precio por bulto ($)]]/Inventario36[[#This Row],[Cantidad de unidades por bulto]])</f>
        <v>0.81</v>
      </c>
      <c r="G4" s="9">
        <f>Inventario36[[#This Row],[Precio]]*Inventario36[[#This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IF(Inventario36[[#This Row],[Cantidad de unidades por bulto]]=0, 0, Inventario36[[#This Row],[Precio por bulto ($)]]/Inventario36[[#This Row],[Cantidad de unidades por bulto]])</f>
        <v>0.8</v>
      </c>
      <c r="G5" s="9">
        <f>Inventario36[[#This Row],[Precio]]*Inventario36[[#This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IF(Inventario36[[#This Row],[Cantidad de unidades por bulto]]=0, 0, Inventario36[[#This Row],[Precio por bulto ($)]]/Inventario36[[#This Row],[Cantidad de unidades por bulto]])</f>
        <v>0.81</v>
      </c>
      <c r="G6" s="9">
        <f>Inventario36[[#This Row],[Precio]]*Inventario36[[#This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IF(Inventario36[[#This Row],[Cantidad de unidades por bulto]]=0, 0, Inventario36[[#This Row],[Precio por bulto ($)]]/Inventario36[[#This Row],[Cantidad de unidades por bulto]])</f>
        <v>0.8773333333333333</v>
      </c>
      <c r="G7" s="9">
        <f>Inventario36[[#This Row],[Precio]]*Inventario36[[#This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IF(Inventario36[[#This Row],[Cantidad de unidades por bulto]]=0, 0, Inventario36[[#This Row],[Precio por bulto ($)]]/Inventario36[[#This Row],[Cantidad de unidades por bulto]])</f>
        <v>0.75</v>
      </c>
      <c r="G8" s="9">
        <f>Inventario36[[#This Row],[Precio]]*Inventario36[[#This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IF(Inventario36[[#This Row],[Cantidad de unidades por bulto]]=0, 0, Inventario36[[#This Row],[Precio por bulto ($)]]/Inventario36[[#This Row],[Cantidad de unidades por bulto]])</f>
        <v>0.75</v>
      </c>
      <c r="G9" s="9">
        <f>Inventario36[[#This Row],[Precio]]*Inventario36[[#This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IF(Inventario36[[#This Row],[Cantidad de unidades por bulto]]=0, 0, Inventario36[[#This Row],[Precio por bulto ($)]]/Inventario36[[#This Row],[Cantidad de unidades por bulto]])</f>
        <v>1.25</v>
      </c>
      <c r="G10" s="9">
        <f>Inventario36[[#This Row],[Precio]]*Inventario36[[#This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IF(Inventario36[[#This Row],[Cantidad de unidades por bulto]]=0, 0, Inventario36[[#This Row],[Precio por bulto ($)]]/Inventario36[[#This Row],[Cantidad de unidades por bulto]])</f>
        <v>11</v>
      </c>
      <c r="G11" s="9">
        <f>Inventario36[[#This Row],[Precio]]*Inventario36[[#This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IF(Inventario36[[#This Row],[Cantidad de unidades por bulto]]=0, 0, Inventario36[[#This Row],[Precio por bulto ($)]]/Inventario36[[#This Row],[Cantidad de unidades por bulto]])</f>
        <v>11</v>
      </c>
      <c r="G12" s="9">
        <f>Inventario36[[#This Row],[Precio]]*Inventario36[[#This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IF(Inventario36[[#This Row],[Cantidad de unidades por bulto]]=0, 0, Inventario36[[#This Row],[Precio por bulto ($)]]/Inventario36[[#This Row],[Cantidad de unidades por bulto]])</f>
        <v>1.25</v>
      </c>
      <c r="G13" s="9">
        <f>Inventario36[[#This Row],[Precio]]*Inventario36[[#This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IF(Inventario36[[#This Row],[Cantidad de unidades por bulto]]=0, 0, Inventario36[[#This Row],[Precio por bulto ($)]]/Inventario36[[#This Row],[Cantidad de unidades por bulto]])</f>
        <v>1.125</v>
      </c>
      <c r="G14" s="9">
        <f>Inventario36[[#This Row],[Precio]]*Inventario36[[#This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IF(Inventario36[[#This Row],[Cantidad de unidades por bulto]]=0, 0, Inventario36[[#This Row],[Precio por bulto ($)]]/Inventario36[[#This Row],[Cantidad de unidades por bulto]])</f>
        <v>0.69916666666666671</v>
      </c>
      <c r="G15" s="9">
        <f>Inventario36[[#This Row],[Precio]]*Inventario36[[#This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IF(Inventario36[[#This Row],[Cantidad de unidades por bulto]]=0, 0, Inventario36[[#This Row],[Precio por bulto ($)]]/Inventario36[[#This Row],[Cantidad de unidades por bulto]])</f>
        <v>1.125</v>
      </c>
      <c r="G16" s="9">
        <f>Inventario36[[#This Row],[Precio]]*Inventario36[[#This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IF(Inventario36[[#This Row],[Cantidad de unidades por bulto]]=0, 0, Inventario36[[#This Row],[Precio por bulto ($)]]/Inventario36[[#This Row],[Cantidad de unidades por bulto]])</f>
        <v>1.125</v>
      </c>
      <c r="G17" s="9">
        <f>Inventario36[[#This Row],[Precio]]*Inventario36[[#This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IF(Inventario36[[#This Row],[Cantidad de unidades por bulto]]=0, 0, Inventario36[[#This Row],[Precio por bulto ($)]]/Inventario36[[#This Row],[Cantidad de unidades por bulto]])</f>
        <v>0.63461538461538458</v>
      </c>
      <c r="G18" s="9">
        <f>Inventario36[[#This Row],[Precio]]*Inventario36[[#This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IF(Inventario36[[#This Row],[Cantidad de unidades por bulto]]=0, 0, Inventario36[[#This Row],[Precio por bulto ($)]]/Inventario36[[#This Row],[Cantidad de unidades por bulto]])</f>
        <v>0.10416666666666667</v>
      </c>
      <c r="G19" s="9">
        <f>Inventario36[[#This Row],[Precio]]*Inventario36[[#This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IF(Inventario36[[#This Row],[Cantidad de unidades por bulto]]=0, 0, Inventario36[[#This Row],[Precio por bulto ($)]]/Inventario36[[#This Row],[Cantidad de unidades por bulto]])</f>
        <v>2.6</v>
      </c>
      <c r="G20" s="9">
        <f>Inventario36[[#This Row],[Precio]]*Inventario36[[#This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IF(Inventario36[[#This Row],[Cantidad de unidades por bulto]]=0, 0, Inventario36[[#This Row],[Precio por bulto ($)]]/Inventario36[[#This Row],[Cantidad de unidades por bulto]])</f>
        <v>0.9</v>
      </c>
      <c r="G21" s="9">
        <f>Inventario36[[#This Row],[Precio]]*Inventario36[[#This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IF(Inventario36[[#This Row],[Cantidad de unidades por bulto]]=0, 0, Inventario36[[#This Row],[Precio por bulto ($)]]/Inventario36[[#This Row],[Cantidad de unidades por bulto]])</f>
        <v>45</v>
      </c>
      <c r="G22" s="9">
        <f>Inventario36[[#This Row],[Precio]]*Inventario36[[#This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IF(Inventario36[[#This Row],[Cantidad de unidades por bulto]]=0, 0, Inventario36[[#This Row],[Precio por bulto ($)]]/Inventario36[[#This Row],[Cantidad de unidades por bulto]])</f>
        <v>1.6</v>
      </c>
      <c r="G23" s="9">
        <f>Inventario36[[#This Row],[Precio]]*Inventario36[[#This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IF(Inventario36[[#This Row],[Cantidad de unidades por bulto]]=0, 0, Inventario36[[#This Row],[Precio por bulto ($)]]/Inventario36[[#This Row],[Cantidad de unidades por bulto]])</f>
        <v>0.22</v>
      </c>
      <c r="G24" s="9">
        <f>Inventario36[[#This Row],[Precio]]*Inventario36[[#This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IF(Inventario36[[#This Row],[Cantidad de unidades por bulto]]=0, 0, Inventario36[[#This Row],[Precio por bulto ($)]]/Inventario36[[#This Row],[Cantidad de unidades por bulto]])</f>
        <v>0.35166666666666663</v>
      </c>
      <c r="G25" s="9">
        <f>Inventario36[[#This Row],[Precio]]*Inventario36[[#This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IF(Inventario36[[#This Row],[Cantidad de unidades por bulto]]=0, 0, Inventario36[[#This Row],[Precio por bulto ($)]]/Inventario36[[#This Row],[Cantidad de unidades por bulto]])</f>
        <v>1.8</v>
      </c>
      <c r="G26" s="9">
        <f>Inventario36[[#This Row],[Precio]]*Inventario36[[#This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IF(Inventario36[[#This Row],[Cantidad de unidades por bulto]]=0, 0, Inventario36[[#This Row],[Precio por bulto ($)]]/Inventario36[[#This Row],[Cantidad de unidades por bulto]])</f>
        <v>3.625</v>
      </c>
      <c r="G27" s="9">
        <f>Inventario36[[#This Row],[Precio]]*Inventario36[[#This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IF(Inventario36[[#This Row],[Cantidad de unidades por bulto]]=0, 0, Inventario36[[#This Row],[Precio por bulto ($)]]/Inventario36[[#This Row],[Cantidad de unidades por bulto]])</f>
        <v>0.52083333333333337</v>
      </c>
      <c r="G28" s="9">
        <f>Inventario36[[#This Row],[Precio]]*Inventario36[[#This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IF(Inventario36[[#This Row],[Cantidad de unidades por bulto]]=0, 0, Inventario36[[#This Row],[Precio por bulto ($)]]/Inventario36[[#This Row],[Cantidad de unidades por bulto]])</f>
        <v>29</v>
      </c>
      <c r="G29" s="9">
        <f>Inventario36[[#This Row],[Precio]]*Inventario36[[#This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IF(Inventario36[[#This Row],[Cantidad de unidades por bulto]]=0, 0, Inventario36[[#This Row],[Precio por bulto ($)]]/Inventario36[[#This Row],[Cantidad de unidades por bulto]])</f>
        <v>0.52083333333333337</v>
      </c>
      <c r="G30" s="9">
        <f>Inventario36[[#This Row],[Precio]]*Inventario36[[#This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IF(Inventario36[[#This Row],[Cantidad de unidades por bulto]]=0, 0, Inventario36[[#This Row],[Precio por bulto ($)]]/Inventario36[[#This Row],[Cantidad de unidades por bulto]])</f>
        <v>0.375</v>
      </c>
      <c r="G31" s="9">
        <f>Inventario36[[#This Row],[Precio]]*Inventario36[[#This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IF(Inventario36[[#This Row],[Cantidad de unidades por bulto]]=0, 0, Inventario36[[#This Row],[Precio por bulto ($)]]/Inventario36[[#This Row],[Cantidad de unidades por bulto]])</f>
        <v>7.05</v>
      </c>
      <c r="G32" s="9">
        <f>Inventario36[[#This Row],[Precio]]*Inventario36[[#This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IF(Inventario36[[#This Row],[Cantidad de unidades por bulto]]=0, 0, Inventario36[[#This Row],[Precio por bulto ($)]]/Inventario36[[#This Row],[Cantidad de unidades por bulto]])</f>
        <v>7.05</v>
      </c>
      <c r="G33" s="9">
        <f>Inventario36[[#This Row],[Precio]]*Inventario36[[#This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IF(Inventario36[[#This Row],[Cantidad de unidades por bulto]]=0, 0, Inventario36[[#This Row],[Precio por bulto ($)]]/Inventario36[[#This Row],[Cantidad de unidades por bulto]])</f>
        <v>7.05</v>
      </c>
      <c r="G34" s="9">
        <f>Inventario36[[#This Row],[Precio]]*Inventario36[[#This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IF(Inventario36[[#This Row],[Cantidad de unidades por bulto]]=0, 0, Inventario36[[#This Row],[Precio por bulto ($)]]/Inventario36[[#This Row],[Cantidad de unidades por bulto]])</f>
        <v>1.95</v>
      </c>
      <c r="G35" s="9">
        <f>Inventario36[[#This Row],[Precio]]*Inventario36[[#This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IF(Inventario36[[#This Row],[Cantidad de unidades por bulto]]=0, 0, Inventario36[[#This Row],[Precio por bulto ($)]]/Inventario36[[#This Row],[Cantidad de unidades por bulto]])</f>
        <v>0.3</v>
      </c>
      <c r="G36" s="9">
        <f>Inventario36[[#This Row],[Precio]]*Inventario36[[#This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IF(Inventario36[[#This Row],[Cantidad de unidades por bulto]]=0, 0, Inventario36[[#This Row],[Precio por bulto ($)]]/Inventario36[[#This Row],[Cantidad de unidades por bulto]])</f>
        <v>13.5</v>
      </c>
      <c r="G37" s="9">
        <f>Inventario36[[#This Row],[Precio]]*Inventario36[[#This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IF(Inventario36[[#This Row],[Cantidad de unidades por bulto]]=0, 0, Inventario36[[#This Row],[Precio por bulto ($)]]/Inventario36[[#This Row],[Cantidad de unidades por bulto]])</f>
        <v>11</v>
      </c>
      <c r="G38" s="9">
        <f>Inventario36[[#This Row],[Precio]]*Inventario36[[#This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IF(Inventario36[[#This Row],[Cantidad de unidades por bulto]]=0, 0, Inventario36[[#This Row],[Precio por bulto ($)]]/Inventario36[[#This Row],[Cantidad de unidades por bulto]])</f>
        <v>0.5625</v>
      </c>
      <c r="G39" s="9">
        <f>Inventario36[[#This Row],[Precio]]*Inventario36[[#This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IF(Inventario36[[#This Row],[Cantidad de unidades por bulto]]=0, 0, Inventario36[[#This Row],[Precio por bulto ($)]]/Inventario36[[#This Row],[Cantidad de unidades por bulto]])</f>
        <v>2</v>
      </c>
      <c r="G40" s="9">
        <f>Inventario36[[#This Row],[Precio]]*Inventario36[[#This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8DD6B-5572-497A-A52E-83E7F066E4B8}">
  <sheetPr codeName="Hoja35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SUM(Inventario35[Importe])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IF(Inventario35[[#This Row],[Cantidad de unidades por bulto]]=0, 0, Inventario35[[#This Row],[Precio por bulto ($)]]/Inventario35[[#This Row],[Cantidad de unidades por bulto]])</f>
        <v>1.25</v>
      </c>
      <c r="G2" s="9">
        <f>Inventario35[[#This Row],[Precio]]*Inventario35[[#This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IF(Inventario35[[#This Row],[Cantidad de unidades por bulto]]=0, 0, Inventario35[[#This Row],[Precio por bulto ($)]]/Inventario35[[#This Row],[Cantidad de unidades por bulto]])</f>
        <v>1.2250000000000001</v>
      </c>
      <c r="G3" s="9">
        <f>Inventario35[[#This Row],[Precio]]*Inventario35[[#This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IF(Inventario35[[#This Row],[Cantidad de unidades por bulto]]=0, 0, Inventario35[[#This Row],[Precio por bulto ($)]]/Inventario35[[#This Row],[Cantidad de unidades por bulto]])</f>
        <v>0.81</v>
      </c>
      <c r="G4" s="9">
        <f>Inventario35[[#This Row],[Precio]]*Inventario35[[#This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IF(Inventario35[[#This Row],[Cantidad de unidades por bulto]]=0, 0, Inventario35[[#This Row],[Precio por bulto ($)]]/Inventario35[[#This Row],[Cantidad de unidades por bulto]])</f>
        <v>0.8</v>
      </c>
      <c r="G5" s="9">
        <f>Inventario35[[#This Row],[Precio]]*Inventario35[[#This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IF(Inventario35[[#This Row],[Cantidad de unidades por bulto]]=0, 0, Inventario35[[#This Row],[Precio por bulto ($)]]/Inventario35[[#This Row],[Cantidad de unidades por bulto]])</f>
        <v>0.81</v>
      </c>
      <c r="G6" s="9">
        <f>Inventario35[[#This Row],[Precio]]*Inventario35[[#This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IF(Inventario35[[#This Row],[Cantidad de unidades por bulto]]=0, 0, Inventario35[[#This Row],[Precio por bulto ($)]]/Inventario35[[#This Row],[Cantidad de unidades por bulto]])</f>
        <v>0.8773333333333333</v>
      </c>
      <c r="G7" s="9">
        <f>Inventario35[[#This Row],[Precio]]*Inventario35[[#This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IF(Inventario35[[#This Row],[Cantidad de unidades por bulto]]=0, 0, Inventario35[[#This Row],[Precio por bulto ($)]]/Inventario35[[#This Row],[Cantidad de unidades por bulto]])</f>
        <v>0.75</v>
      </c>
      <c r="G8" s="9">
        <f>Inventario35[[#This Row],[Precio]]*Inventario35[[#This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IF(Inventario35[[#This Row],[Cantidad de unidades por bulto]]=0, 0, Inventario35[[#This Row],[Precio por bulto ($)]]/Inventario35[[#This Row],[Cantidad de unidades por bulto]])</f>
        <v>0.75</v>
      </c>
      <c r="G9" s="9">
        <f>Inventario35[[#This Row],[Precio]]*Inventario35[[#This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IF(Inventario35[[#This Row],[Cantidad de unidades por bulto]]=0, 0, Inventario35[[#This Row],[Precio por bulto ($)]]/Inventario35[[#This Row],[Cantidad de unidades por bulto]])</f>
        <v>1.25</v>
      </c>
      <c r="G10" s="9">
        <f>Inventario35[[#This Row],[Precio]]*Inventario35[[#This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IF(Inventario35[[#This Row],[Cantidad de unidades por bulto]]=0, 0, Inventario35[[#This Row],[Precio por bulto ($)]]/Inventario35[[#This Row],[Cantidad de unidades por bulto]])</f>
        <v>11</v>
      </c>
      <c r="G11" s="9">
        <f>Inventario35[[#This Row],[Precio]]*Inventario35[[#This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IF(Inventario35[[#This Row],[Cantidad de unidades por bulto]]=0, 0, Inventario35[[#This Row],[Precio por bulto ($)]]/Inventario35[[#This Row],[Cantidad de unidades por bulto]])</f>
        <v>11</v>
      </c>
      <c r="G12" s="9">
        <f>Inventario35[[#This Row],[Precio]]*Inventario35[[#This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IF(Inventario35[[#This Row],[Cantidad de unidades por bulto]]=0, 0, Inventario35[[#This Row],[Precio por bulto ($)]]/Inventario35[[#This Row],[Cantidad de unidades por bulto]])</f>
        <v>1.25</v>
      </c>
      <c r="G13" s="9">
        <f>Inventario35[[#This Row],[Precio]]*Inventario35[[#This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IF(Inventario35[[#This Row],[Cantidad de unidades por bulto]]=0, 0, Inventario35[[#This Row],[Precio por bulto ($)]]/Inventario35[[#This Row],[Cantidad de unidades por bulto]])</f>
        <v>1.125</v>
      </c>
      <c r="G14" s="9">
        <f>Inventario35[[#This Row],[Precio]]*Inventario35[[#This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IF(Inventario35[[#This Row],[Cantidad de unidades por bulto]]=0, 0, Inventario35[[#This Row],[Precio por bulto ($)]]/Inventario35[[#This Row],[Cantidad de unidades por bulto]])</f>
        <v>0.69916666666666671</v>
      </c>
      <c r="G15" s="9">
        <f>Inventario35[[#This Row],[Precio]]*Inventario35[[#This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IF(Inventario35[[#This Row],[Cantidad de unidades por bulto]]=0, 0, Inventario35[[#This Row],[Precio por bulto ($)]]/Inventario35[[#This Row],[Cantidad de unidades por bulto]])</f>
        <v>1.125</v>
      </c>
      <c r="G16" s="9">
        <f>Inventario35[[#This Row],[Precio]]*Inventario35[[#This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IF(Inventario35[[#This Row],[Cantidad de unidades por bulto]]=0, 0, Inventario35[[#This Row],[Precio por bulto ($)]]/Inventario35[[#This Row],[Cantidad de unidades por bulto]])</f>
        <v>1.125</v>
      </c>
      <c r="G17" s="9">
        <f>Inventario35[[#This Row],[Precio]]*Inventario35[[#This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IF(Inventario35[[#This Row],[Cantidad de unidades por bulto]]=0, 0, Inventario35[[#This Row],[Precio por bulto ($)]]/Inventario35[[#This Row],[Cantidad de unidades por bulto]])</f>
        <v>0.63461538461538458</v>
      </c>
      <c r="G18" s="9">
        <f>Inventario35[[#This Row],[Precio]]*Inventario35[[#This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IF(Inventario35[[#This Row],[Cantidad de unidades por bulto]]=0, 0, Inventario35[[#This Row],[Precio por bulto ($)]]/Inventario35[[#This Row],[Cantidad de unidades por bulto]])</f>
        <v>0.10416666666666667</v>
      </c>
      <c r="G19" s="9">
        <f>Inventario35[[#This Row],[Precio]]*Inventario35[[#This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IF(Inventario35[[#This Row],[Cantidad de unidades por bulto]]=0, 0, Inventario35[[#This Row],[Precio por bulto ($)]]/Inventario35[[#This Row],[Cantidad de unidades por bulto]])</f>
        <v>2.6</v>
      </c>
      <c r="G20" s="9">
        <f>Inventario35[[#This Row],[Precio]]*Inventario35[[#This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IF(Inventario35[[#This Row],[Cantidad de unidades por bulto]]=0, 0, Inventario35[[#This Row],[Precio por bulto ($)]]/Inventario35[[#This Row],[Cantidad de unidades por bulto]])</f>
        <v>0.9</v>
      </c>
      <c r="G21" s="9">
        <f>Inventario35[[#This Row],[Precio]]*Inventario35[[#This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IF(Inventario35[[#This Row],[Cantidad de unidades por bulto]]=0, 0, Inventario35[[#This Row],[Precio por bulto ($)]]/Inventario35[[#This Row],[Cantidad de unidades por bulto]])</f>
        <v>45</v>
      </c>
      <c r="G22" s="9">
        <f>Inventario35[[#This Row],[Precio]]*Inventario35[[#This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IF(Inventario35[[#This Row],[Cantidad de unidades por bulto]]=0, 0, Inventario35[[#This Row],[Precio por bulto ($)]]/Inventario35[[#This Row],[Cantidad de unidades por bulto]])</f>
        <v>1.6</v>
      </c>
      <c r="G23" s="9">
        <f>Inventario35[[#This Row],[Precio]]*Inventario35[[#This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IF(Inventario35[[#This Row],[Cantidad de unidades por bulto]]=0, 0, Inventario35[[#This Row],[Precio por bulto ($)]]/Inventario35[[#This Row],[Cantidad de unidades por bulto]])</f>
        <v>0.22</v>
      </c>
      <c r="G24" s="9">
        <f>Inventario35[[#This Row],[Precio]]*Inventario35[[#This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IF(Inventario35[[#This Row],[Cantidad de unidades por bulto]]=0, 0, Inventario35[[#This Row],[Precio por bulto ($)]]/Inventario35[[#This Row],[Cantidad de unidades por bulto]])</f>
        <v>0.35166666666666663</v>
      </c>
      <c r="G25" s="9">
        <f>Inventario35[[#This Row],[Precio]]*Inventario35[[#This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IF(Inventario35[[#This Row],[Cantidad de unidades por bulto]]=0, 0, Inventario35[[#This Row],[Precio por bulto ($)]]/Inventario35[[#This Row],[Cantidad de unidades por bulto]])</f>
        <v>1.8</v>
      </c>
      <c r="G26" s="9">
        <f>Inventario35[[#This Row],[Precio]]*Inventario35[[#This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IF(Inventario35[[#This Row],[Cantidad de unidades por bulto]]=0, 0, Inventario35[[#This Row],[Precio por bulto ($)]]/Inventario35[[#This Row],[Cantidad de unidades por bulto]])</f>
        <v>3.625</v>
      </c>
      <c r="G27" s="9">
        <f>Inventario35[[#This Row],[Precio]]*Inventario35[[#This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IF(Inventario35[[#This Row],[Cantidad de unidades por bulto]]=0, 0, Inventario35[[#This Row],[Precio por bulto ($)]]/Inventario35[[#This Row],[Cantidad de unidades por bulto]])</f>
        <v>0.52083333333333337</v>
      </c>
      <c r="G28" s="9">
        <f>Inventario35[[#This Row],[Precio]]*Inventario35[[#This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IF(Inventario35[[#This Row],[Cantidad de unidades por bulto]]=0, 0, Inventario35[[#This Row],[Precio por bulto ($)]]/Inventario35[[#This Row],[Cantidad de unidades por bulto]])</f>
        <v>29</v>
      </c>
      <c r="G29" s="9">
        <f>Inventario35[[#This Row],[Precio]]*Inventario35[[#This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IF(Inventario35[[#This Row],[Cantidad de unidades por bulto]]=0, 0, Inventario35[[#This Row],[Precio por bulto ($)]]/Inventario35[[#This Row],[Cantidad de unidades por bulto]])</f>
        <v>0.52083333333333337</v>
      </c>
      <c r="G30" s="9">
        <f>Inventario35[[#This Row],[Precio]]*Inventario35[[#This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IF(Inventario35[[#This Row],[Cantidad de unidades por bulto]]=0, 0, Inventario35[[#This Row],[Precio por bulto ($)]]/Inventario35[[#This Row],[Cantidad de unidades por bulto]])</f>
        <v>0.375</v>
      </c>
      <c r="G31" s="9">
        <f>Inventario35[[#This Row],[Precio]]*Inventario35[[#This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IF(Inventario35[[#This Row],[Cantidad de unidades por bulto]]=0, 0, Inventario35[[#This Row],[Precio por bulto ($)]]/Inventario35[[#This Row],[Cantidad de unidades por bulto]])</f>
        <v>7.05</v>
      </c>
      <c r="G32" s="9">
        <f>Inventario35[[#This Row],[Precio]]*Inventario35[[#This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IF(Inventario35[[#This Row],[Cantidad de unidades por bulto]]=0, 0, Inventario35[[#This Row],[Precio por bulto ($)]]/Inventario35[[#This Row],[Cantidad de unidades por bulto]])</f>
        <v>7.05</v>
      </c>
      <c r="G33" s="9">
        <f>Inventario35[[#This Row],[Precio]]*Inventario35[[#This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IF(Inventario35[[#This Row],[Cantidad de unidades por bulto]]=0, 0, Inventario35[[#This Row],[Precio por bulto ($)]]/Inventario35[[#This Row],[Cantidad de unidades por bulto]])</f>
        <v>7.05</v>
      </c>
      <c r="G34" s="9">
        <f>Inventario35[[#This Row],[Precio]]*Inventario35[[#This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IF(Inventario35[[#This Row],[Cantidad de unidades por bulto]]=0, 0, Inventario35[[#This Row],[Precio por bulto ($)]]/Inventario35[[#This Row],[Cantidad de unidades por bulto]])</f>
        <v>1.95</v>
      </c>
      <c r="G35" s="9">
        <f>Inventario35[[#This Row],[Precio]]*Inventario35[[#This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IF(Inventario35[[#This Row],[Cantidad de unidades por bulto]]=0, 0, Inventario35[[#This Row],[Precio por bulto ($)]]/Inventario35[[#This Row],[Cantidad de unidades por bulto]])</f>
        <v>0.3</v>
      </c>
      <c r="G36" s="9">
        <f>Inventario35[[#This Row],[Precio]]*Inventario35[[#This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IF(Inventario35[[#This Row],[Cantidad de unidades por bulto]]=0, 0, Inventario35[[#This Row],[Precio por bulto ($)]]/Inventario35[[#This Row],[Cantidad de unidades por bulto]])</f>
        <v>13.5</v>
      </c>
      <c r="G37" s="9">
        <f>Inventario35[[#This Row],[Precio]]*Inventario35[[#This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IF(Inventario35[[#This Row],[Cantidad de unidades por bulto]]=0, 0, Inventario35[[#This Row],[Precio por bulto ($)]]/Inventario35[[#This Row],[Cantidad de unidades por bulto]])</f>
        <v>11</v>
      </c>
      <c r="G38" s="9">
        <f>Inventario35[[#This Row],[Precio]]*Inventario35[[#This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IF(Inventario35[[#This Row],[Cantidad de unidades por bulto]]=0, 0, Inventario35[[#This Row],[Precio por bulto ($)]]/Inventario35[[#This Row],[Cantidad de unidades por bulto]])</f>
        <v>0.5625</v>
      </c>
      <c r="G39" s="9">
        <f>Inventario35[[#This Row],[Precio]]*Inventario35[[#This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IF(Inventario35[[#This Row],[Cantidad de unidades por bulto]]=0, 0, Inventario35[[#This Row],[Precio por bulto ($)]]/Inventario35[[#This Row],[Cantidad de unidades por bulto]])</f>
        <v>2</v>
      </c>
      <c r="G40" s="9">
        <f>Inventario35[[#This Row],[Precio]]*Inventario35[[#This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5EC18-1CFB-44EB-87CF-38BE8F0E7E0C}">
  <sheetPr codeName="Hoja34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SUM(Inventario34[Importe])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IF(Inventario34[[#This Row],[Cantidad de unidades por bulto]]=0, 0, Inventario34[[#This Row],[Precio por bulto ($)]]/Inventario34[[#This Row],[Cantidad de unidades por bulto]])</f>
        <v>1.25</v>
      </c>
      <c r="G2" s="9">
        <f>Inventario34[[#This Row],[Precio]]*Inventario34[[#This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IF(Inventario34[[#This Row],[Cantidad de unidades por bulto]]=0, 0, Inventario34[[#This Row],[Precio por bulto ($)]]/Inventario34[[#This Row],[Cantidad de unidades por bulto]])</f>
        <v>1.2250000000000001</v>
      </c>
      <c r="G3" s="9">
        <f>Inventario34[[#This Row],[Precio]]*Inventario34[[#This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IF(Inventario34[[#This Row],[Cantidad de unidades por bulto]]=0, 0, Inventario34[[#This Row],[Precio por bulto ($)]]/Inventario34[[#This Row],[Cantidad de unidades por bulto]])</f>
        <v>0.81</v>
      </c>
      <c r="G4" s="9">
        <f>Inventario34[[#This Row],[Precio]]*Inventario34[[#This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IF(Inventario34[[#This Row],[Cantidad de unidades por bulto]]=0, 0, Inventario34[[#This Row],[Precio por bulto ($)]]/Inventario34[[#This Row],[Cantidad de unidades por bulto]])</f>
        <v>0.8</v>
      </c>
      <c r="G5" s="9">
        <f>Inventario34[[#This Row],[Precio]]*Inventario34[[#This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IF(Inventario34[[#This Row],[Cantidad de unidades por bulto]]=0, 0, Inventario34[[#This Row],[Precio por bulto ($)]]/Inventario34[[#This Row],[Cantidad de unidades por bulto]])</f>
        <v>0.81</v>
      </c>
      <c r="G6" s="9">
        <f>Inventario34[[#This Row],[Precio]]*Inventario34[[#This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IF(Inventario34[[#This Row],[Cantidad de unidades por bulto]]=0, 0, Inventario34[[#This Row],[Precio por bulto ($)]]/Inventario34[[#This Row],[Cantidad de unidades por bulto]])</f>
        <v>0.8773333333333333</v>
      </c>
      <c r="G7" s="9">
        <f>Inventario34[[#This Row],[Precio]]*Inventario34[[#This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IF(Inventario34[[#This Row],[Cantidad de unidades por bulto]]=0, 0, Inventario34[[#This Row],[Precio por bulto ($)]]/Inventario34[[#This Row],[Cantidad de unidades por bulto]])</f>
        <v>0.75</v>
      </c>
      <c r="G8" s="9">
        <f>Inventario34[[#This Row],[Precio]]*Inventario34[[#This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IF(Inventario34[[#This Row],[Cantidad de unidades por bulto]]=0, 0, Inventario34[[#This Row],[Precio por bulto ($)]]/Inventario34[[#This Row],[Cantidad de unidades por bulto]])</f>
        <v>0.75</v>
      </c>
      <c r="G9" s="9">
        <f>Inventario34[[#This Row],[Precio]]*Inventario34[[#This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IF(Inventario34[[#This Row],[Cantidad de unidades por bulto]]=0, 0, Inventario34[[#This Row],[Precio por bulto ($)]]/Inventario34[[#This Row],[Cantidad de unidades por bulto]])</f>
        <v>1.25</v>
      </c>
      <c r="G10" s="9">
        <f>Inventario34[[#This Row],[Precio]]*Inventario34[[#This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IF(Inventario34[[#This Row],[Cantidad de unidades por bulto]]=0, 0, Inventario34[[#This Row],[Precio por bulto ($)]]/Inventario34[[#This Row],[Cantidad de unidades por bulto]])</f>
        <v>11</v>
      </c>
      <c r="G11" s="9">
        <f>Inventario34[[#This Row],[Precio]]*Inventario34[[#This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IF(Inventario34[[#This Row],[Cantidad de unidades por bulto]]=0, 0, Inventario34[[#This Row],[Precio por bulto ($)]]/Inventario34[[#This Row],[Cantidad de unidades por bulto]])</f>
        <v>11</v>
      </c>
      <c r="G12" s="9">
        <f>Inventario34[[#This Row],[Precio]]*Inventario34[[#This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IF(Inventario34[[#This Row],[Cantidad de unidades por bulto]]=0, 0, Inventario34[[#This Row],[Precio por bulto ($)]]/Inventario34[[#This Row],[Cantidad de unidades por bulto]])</f>
        <v>1.25</v>
      </c>
      <c r="G13" s="9">
        <f>Inventario34[[#This Row],[Precio]]*Inventario34[[#This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IF(Inventario34[[#This Row],[Cantidad de unidades por bulto]]=0, 0, Inventario34[[#This Row],[Precio por bulto ($)]]/Inventario34[[#This Row],[Cantidad de unidades por bulto]])</f>
        <v>1.125</v>
      </c>
      <c r="G14" s="9">
        <f>Inventario34[[#This Row],[Precio]]*Inventario34[[#This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IF(Inventario34[[#This Row],[Cantidad de unidades por bulto]]=0, 0, Inventario34[[#This Row],[Precio por bulto ($)]]/Inventario34[[#This Row],[Cantidad de unidades por bulto]])</f>
        <v>0.69916666666666671</v>
      </c>
      <c r="G15" s="9">
        <f>Inventario34[[#This Row],[Precio]]*Inventario34[[#This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IF(Inventario34[[#This Row],[Cantidad de unidades por bulto]]=0, 0, Inventario34[[#This Row],[Precio por bulto ($)]]/Inventario34[[#This Row],[Cantidad de unidades por bulto]])</f>
        <v>1.125</v>
      </c>
      <c r="G16" s="9">
        <f>Inventario34[[#This Row],[Precio]]*Inventario34[[#This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IF(Inventario34[[#This Row],[Cantidad de unidades por bulto]]=0, 0, Inventario34[[#This Row],[Precio por bulto ($)]]/Inventario34[[#This Row],[Cantidad de unidades por bulto]])</f>
        <v>1.125</v>
      </c>
      <c r="G17" s="9">
        <f>Inventario34[[#This Row],[Precio]]*Inventario34[[#This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IF(Inventario34[[#This Row],[Cantidad de unidades por bulto]]=0, 0, Inventario34[[#This Row],[Precio por bulto ($)]]/Inventario34[[#This Row],[Cantidad de unidades por bulto]])</f>
        <v>0.63461538461538458</v>
      </c>
      <c r="G18" s="9">
        <f>Inventario34[[#This Row],[Precio]]*Inventario34[[#This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IF(Inventario34[[#This Row],[Cantidad de unidades por bulto]]=0, 0, Inventario34[[#This Row],[Precio por bulto ($)]]/Inventario34[[#This Row],[Cantidad de unidades por bulto]])</f>
        <v>0.10416666666666667</v>
      </c>
      <c r="G19" s="9">
        <f>Inventario34[[#This Row],[Precio]]*Inventario34[[#This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IF(Inventario34[[#This Row],[Cantidad de unidades por bulto]]=0, 0, Inventario34[[#This Row],[Precio por bulto ($)]]/Inventario34[[#This Row],[Cantidad de unidades por bulto]])</f>
        <v>2.6</v>
      </c>
      <c r="G20" s="9">
        <f>Inventario34[[#This Row],[Precio]]*Inventario34[[#This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IF(Inventario34[[#This Row],[Cantidad de unidades por bulto]]=0, 0, Inventario34[[#This Row],[Precio por bulto ($)]]/Inventario34[[#This Row],[Cantidad de unidades por bulto]])</f>
        <v>0.9</v>
      </c>
      <c r="G21" s="9">
        <f>Inventario34[[#This Row],[Precio]]*Inventario34[[#This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IF(Inventario34[[#This Row],[Cantidad de unidades por bulto]]=0, 0, Inventario34[[#This Row],[Precio por bulto ($)]]/Inventario34[[#This Row],[Cantidad de unidades por bulto]])</f>
        <v>45</v>
      </c>
      <c r="G22" s="9">
        <f>Inventario34[[#This Row],[Precio]]*Inventario34[[#This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IF(Inventario34[[#This Row],[Cantidad de unidades por bulto]]=0, 0, Inventario34[[#This Row],[Precio por bulto ($)]]/Inventario34[[#This Row],[Cantidad de unidades por bulto]])</f>
        <v>1.6</v>
      </c>
      <c r="G23" s="9">
        <f>Inventario34[[#This Row],[Precio]]*Inventario34[[#This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IF(Inventario34[[#This Row],[Cantidad de unidades por bulto]]=0, 0, Inventario34[[#This Row],[Precio por bulto ($)]]/Inventario34[[#This Row],[Cantidad de unidades por bulto]])</f>
        <v>0.22</v>
      </c>
      <c r="G24" s="9">
        <f>Inventario34[[#This Row],[Precio]]*Inventario34[[#This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IF(Inventario34[[#This Row],[Cantidad de unidades por bulto]]=0, 0, Inventario34[[#This Row],[Precio por bulto ($)]]/Inventario34[[#This Row],[Cantidad de unidades por bulto]])</f>
        <v>0.35166666666666663</v>
      </c>
      <c r="G25" s="9">
        <f>Inventario34[[#This Row],[Precio]]*Inventario34[[#This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IF(Inventario34[[#This Row],[Cantidad de unidades por bulto]]=0, 0, Inventario34[[#This Row],[Precio por bulto ($)]]/Inventario34[[#This Row],[Cantidad de unidades por bulto]])</f>
        <v>1.8</v>
      </c>
      <c r="G26" s="9">
        <f>Inventario34[[#This Row],[Precio]]*Inventario34[[#This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IF(Inventario34[[#This Row],[Cantidad de unidades por bulto]]=0, 0, Inventario34[[#This Row],[Precio por bulto ($)]]/Inventario34[[#This Row],[Cantidad de unidades por bulto]])</f>
        <v>3.625</v>
      </c>
      <c r="G27" s="9">
        <f>Inventario34[[#This Row],[Precio]]*Inventario34[[#This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IF(Inventario34[[#This Row],[Cantidad de unidades por bulto]]=0, 0, Inventario34[[#This Row],[Precio por bulto ($)]]/Inventario34[[#This Row],[Cantidad de unidades por bulto]])</f>
        <v>0.52083333333333337</v>
      </c>
      <c r="G28" s="9">
        <f>Inventario34[[#This Row],[Precio]]*Inventario34[[#This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IF(Inventario34[[#This Row],[Cantidad de unidades por bulto]]=0, 0, Inventario34[[#This Row],[Precio por bulto ($)]]/Inventario34[[#This Row],[Cantidad de unidades por bulto]])</f>
        <v>29</v>
      </c>
      <c r="G29" s="9">
        <f>Inventario34[[#This Row],[Precio]]*Inventario34[[#This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IF(Inventario34[[#This Row],[Cantidad de unidades por bulto]]=0, 0, Inventario34[[#This Row],[Precio por bulto ($)]]/Inventario34[[#This Row],[Cantidad de unidades por bulto]])</f>
        <v>0.52083333333333337</v>
      </c>
      <c r="G30" s="9">
        <f>Inventario34[[#This Row],[Precio]]*Inventario34[[#This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IF(Inventario34[[#This Row],[Cantidad de unidades por bulto]]=0, 0, Inventario34[[#This Row],[Precio por bulto ($)]]/Inventario34[[#This Row],[Cantidad de unidades por bulto]])</f>
        <v>0.375</v>
      </c>
      <c r="G31" s="9">
        <f>Inventario34[[#This Row],[Precio]]*Inventario34[[#This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IF(Inventario34[[#This Row],[Cantidad de unidades por bulto]]=0, 0, Inventario34[[#This Row],[Precio por bulto ($)]]/Inventario34[[#This Row],[Cantidad de unidades por bulto]])</f>
        <v>7.05</v>
      </c>
      <c r="G32" s="9">
        <f>Inventario34[[#This Row],[Precio]]*Inventario34[[#This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IF(Inventario34[[#This Row],[Cantidad de unidades por bulto]]=0, 0, Inventario34[[#This Row],[Precio por bulto ($)]]/Inventario34[[#This Row],[Cantidad de unidades por bulto]])</f>
        <v>7.05</v>
      </c>
      <c r="G33" s="9">
        <f>Inventario34[[#This Row],[Precio]]*Inventario34[[#This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IF(Inventario34[[#This Row],[Cantidad de unidades por bulto]]=0, 0, Inventario34[[#This Row],[Precio por bulto ($)]]/Inventario34[[#This Row],[Cantidad de unidades por bulto]])</f>
        <v>7.05</v>
      </c>
      <c r="G34" s="9">
        <f>Inventario34[[#This Row],[Precio]]*Inventario34[[#This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IF(Inventario34[[#This Row],[Cantidad de unidades por bulto]]=0, 0, Inventario34[[#This Row],[Precio por bulto ($)]]/Inventario34[[#This Row],[Cantidad de unidades por bulto]])</f>
        <v>1.95</v>
      </c>
      <c r="G35" s="9">
        <f>Inventario34[[#This Row],[Precio]]*Inventario34[[#This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IF(Inventario34[[#This Row],[Cantidad de unidades por bulto]]=0, 0, Inventario34[[#This Row],[Precio por bulto ($)]]/Inventario34[[#This Row],[Cantidad de unidades por bulto]])</f>
        <v>0.3</v>
      </c>
      <c r="G36" s="9">
        <f>Inventario34[[#This Row],[Precio]]*Inventario34[[#This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IF(Inventario34[[#This Row],[Cantidad de unidades por bulto]]=0, 0, Inventario34[[#This Row],[Precio por bulto ($)]]/Inventario34[[#This Row],[Cantidad de unidades por bulto]])</f>
        <v>13.5</v>
      </c>
      <c r="G37" s="9">
        <f>Inventario34[[#This Row],[Precio]]*Inventario34[[#This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IF(Inventario34[[#This Row],[Cantidad de unidades por bulto]]=0, 0, Inventario34[[#This Row],[Precio por bulto ($)]]/Inventario34[[#This Row],[Cantidad de unidades por bulto]])</f>
        <v>11</v>
      </c>
      <c r="G38" s="9">
        <f>Inventario34[[#This Row],[Precio]]*Inventario34[[#This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IF(Inventario34[[#This Row],[Cantidad de unidades por bulto]]=0, 0, Inventario34[[#This Row],[Precio por bulto ($)]]/Inventario34[[#This Row],[Cantidad de unidades por bulto]])</f>
        <v>0.5625</v>
      </c>
      <c r="G39" s="9">
        <f>Inventario34[[#This Row],[Precio]]*Inventario34[[#This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IF(Inventario34[[#This Row],[Cantidad de unidades por bulto]]=0, 0, Inventario34[[#This Row],[Precio por bulto ($)]]/Inventario34[[#This Row],[Cantidad de unidades por bulto]])</f>
        <v>2</v>
      </c>
      <c r="G40" s="9">
        <f>Inventario34[[#This Row],[Precio]]*Inventario34[[#This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0F42-1004-4D82-9D52-32D905AF5A73}">
  <sheetPr codeName="Hoja33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SUM(Inventario33[Importe])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IF(Inventario33[[#This Row],[Cantidad de unidades por bulto]]=0, 0, Inventario33[[#This Row],[Precio por bulto ($)]]/Inventario33[[#This Row],[Cantidad de unidades por bulto]])</f>
        <v>1.25</v>
      </c>
      <c r="G2" s="9">
        <f>Inventario33[[#This Row],[Precio]]*Inventario33[[#This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IF(Inventario33[[#This Row],[Cantidad de unidades por bulto]]=0, 0, Inventario33[[#This Row],[Precio por bulto ($)]]/Inventario33[[#This Row],[Cantidad de unidades por bulto]])</f>
        <v>1.2250000000000001</v>
      </c>
      <c r="G3" s="9">
        <f>Inventario33[[#This Row],[Precio]]*Inventario33[[#This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IF(Inventario33[[#This Row],[Cantidad de unidades por bulto]]=0, 0, Inventario33[[#This Row],[Precio por bulto ($)]]/Inventario33[[#This Row],[Cantidad de unidades por bulto]])</f>
        <v>0.81</v>
      </c>
      <c r="G4" s="9">
        <f>Inventario33[[#This Row],[Precio]]*Inventario33[[#This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IF(Inventario33[[#This Row],[Cantidad de unidades por bulto]]=0, 0, Inventario33[[#This Row],[Precio por bulto ($)]]/Inventario33[[#This Row],[Cantidad de unidades por bulto]])</f>
        <v>0.8</v>
      </c>
      <c r="G5" s="9">
        <f>Inventario33[[#This Row],[Precio]]*Inventario33[[#This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IF(Inventario33[[#This Row],[Cantidad de unidades por bulto]]=0, 0, Inventario33[[#This Row],[Precio por bulto ($)]]/Inventario33[[#This Row],[Cantidad de unidades por bulto]])</f>
        <v>0.81</v>
      </c>
      <c r="G6" s="9">
        <f>Inventario33[[#This Row],[Precio]]*Inventario33[[#This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IF(Inventario33[[#This Row],[Cantidad de unidades por bulto]]=0, 0, Inventario33[[#This Row],[Precio por bulto ($)]]/Inventario33[[#This Row],[Cantidad de unidades por bulto]])</f>
        <v>0.8773333333333333</v>
      </c>
      <c r="G7" s="9">
        <f>Inventario33[[#This Row],[Precio]]*Inventario33[[#This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IF(Inventario33[[#This Row],[Cantidad de unidades por bulto]]=0, 0, Inventario33[[#This Row],[Precio por bulto ($)]]/Inventario33[[#This Row],[Cantidad de unidades por bulto]])</f>
        <v>0.75</v>
      </c>
      <c r="G8" s="9">
        <f>Inventario33[[#This Row],[Precio]]*Inventario33[[#This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IF(Inventario33[[#This Row],[Cantidad de unidades por bulto]]=0, 0, Inventario33[[#This Row],[Precio por bulto ($)]]/Inventario33[[#This Row],[Cantidad de unidades por bulto]])</f>
        <v>0.75</v>
      </c>
      <c r="G9" s="9">
        <f>Inventario33[[#This Row],[Precio]]*Inventario33[[#This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IF(Inventario33[[#This Row],[Cantidad de unidades por bulto]]=0, 0, Inventario33[[#This Row],[Precio por bulto ($)]]/Inventario33[[#This Row],[Cantidad de unidades por bulto]])</f>
        <v>1.25</v>
      </c>
      <c r="G10" s="9">
        <f>Inventario33[[#This Row],[Precio]]*Inventario33[[#This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IF(Inventario33[[#This Row],[Cantidad de unidades por bulto]]=0, 0, Inventario33[[#This Row],[Precio por bulto ($)]]/Inventario33[[#This Row],[Cantidad de unidades por bulto]])</f>
        <v>11</v>
      </c>
      <c r="G11" s="9">
        <f>Inventario33[[#This Row],[Precio]]*Inventario33[[#This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IF(Inventario33[[#This Row],[Cantidad de unidades por bulto]]=0, 0, Inventario33[[#This Row],[Precio por bulto ($)]]/Inventario33[[#This Row],[Cantidad de unidades por bulto]])</f>
        <v>11</v>
      </c>
      <c r="G12" s="9">
        <f>Inventario33[[#This Row],[Precio]]*Inventario33[[#This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IF(Inventario33[[#This Row],[Cantidad de unidades por bulto]]=0, 0, Inventario33[[#This Row],[Precio por bulto ($)]]/Inventario33[[#This Row],[Cantidad de unidades por bulto]])</f>
        <v>1.25</v>
      </c>
      <c r="G13" s="9">
        <f>Inventario33[[#This Row],[Precio]]*Inventario33[[#This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IF(Inventario33[[#This Row],[Cantidad de unidades por bulto]]=0, 0, Inventario33[[#This Row],[Precio por bulto ($)]]/Inventario33[[#This Row],[Cantidad de unidades por bulto]])</f>
        <v>1.125</v>
      </c>
      <c r="G14" s="9">
        <f>Inventario33[[#This Row],[Precio]]*Inventario33[[#This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IF(Inventario33[[#This Row],[Cantidad de unidades por bulto]]=0, 0, Inventario33[[#This Row],[Precio por bulto ($)]]/Inventario33[[#This Row],[Cantidad de unidades por bulto]])</f>
        <v>0.69916666666666671</v>
      </c>
      <c r="G15" s="9">
        <f>Inventario33[[#This Row],[Precio]]*Inventario33[[#This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IF(Inventario33[[#This Row],[Cantidad de unidades por bulto]]=0, 0, Inventario33[[#This Row],[Precio por bulto ($)]]/Inventario33[[#This Row],[Cantidad de unidades por bulto]])</f>
        <v>1.125</v>
      </c>
      <c r="G16" s="9">
        <f>Inventario33[[#This Row],[Precio]]*Inventario33[[#This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IF(Inventario33[[#This Row],[Cantidad de unidades por bulto]]=0, 0, Inventario33[[#This Row],[Precio por bulto ($)]]/Inventario33[[#This Row],[Cantidad de unidades por bulto]])</f>
        <v>1.125</v>
      </c>
      <c r="G17" s="9">
        <f>Inventario33[[#This Row],[Precio]]*Inventario33[[#This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IF(Inventario33[[#This Row],[Cantidad de unidades por bulto]]=0, 0, Inventario33[[#This Row],[Precio por bulto ($)]]/Inventario33[[#This Row],[Cantidad de unidades por bulto]])</f>
        <v>0.63461538461538458</v>
      </c>
      <c r="G18" s="9">
        <f>Inventario33[[#This Row],[Precio]]*Inventario33[[#This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IF(Inventario33[[#This Row],[Cantidad de unidades por bulto]]=0, 0, Inventario33[[#This Row],[Precio por bulto ($)]]/Inventario33[[#This Row],[Cantidad de unidades por bulto]])</f>
        <v>0.10416666666666667</v>
      </c>
      <c r="G19" s="9">
        <f>Inventario33[[#This Row],[Precio]]*Inventario33[[#This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IF(Inventario33[[#This Row],[Cantidad de unidades por bulto]]=0, 0, Inventario33[[#This Row],[Precio por bulto ($)]]/Inventario33[[#This Row],[Cantidad de unidades por bulto]])</f>
        <v>2.6</v>
      </c>
      <c r="G20" s="9">
        <f>Inventario33[[#This Row],[Precio]]*Inventario33[[#This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IF(Inventario33[[#This Row],[Cantidad de unidades por bulto]]=0, 0, Inventario33[[#This Row],[Precio por bulto ($)]]/Inventario33[[#This Row],[Cantidad de unidades por bulto]])</f>
        <v>0.9</v>
      </c>
      <c r="G21" s="9">
        <f>Inventario33[[#This Row],[Precio]]*Inventario33[[#This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IF(Inventario33[[#This Row],[Cantidad de unidades por bulto]]=0, 0, Inventario33[[#This Row],[Precio por bulto ($)]]/Inventario33[[#This Row],[Cantidad de unidades por bulto]])</f>
        <v>45</v>
      </c>
      <c r="G22" s="9">
        <f>Inventario33[[#This Row],[Precio]]*Inventario33[[#This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IF(Inventario33[[#This Row],[Cantidad de unidades por bulto]]=0, 0, Inventario33[[#This Row],[Precio por bulto ($)]]/Inventario33[[#This Row],[Cantidad de unidades por bulto]])</f>
        <v>1.6</v>
      </c>
      <c r="G23" s="9">
        <f>Inventario33[[#This Row],[Precio]]*Inventario33[[#This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IF(Inventario33[[#This Row],[Cantidad de unidades por bulto]]=0, 0, Inventario33[[#This Row],[Precio por bulto ($)]]/Inventario33[[#This Row],[Cantidad de unidades por bulto]])</f>
        <v>0.22</v>
      </c>
      <c r="G24" s="9">
        <f>Inventario33[[#This Row],[Precio]]*Inventario33[[#This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IF(Inventario33[[#This Row],[Cantidad de unidades por bulto]]=0, 0, Inventario33[[#This Row],[Precio por bulto ($)]]/Inventario33[[#This Row],[Cantidad de unidades por bulto]])</f>
        <v>0.35166666666666663</v>
      </c>
      <c r="G25" s="9">
        <f>Inventario33[[#This Row],[Precio]]*Inventario33[[#This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IF(Inventario33[[#This Row],[Cantidad de unidades por bulto]]=0, 0, Inventario33[[#This Row],[Precio por bulto ($)]]/Inventario33[[#This Row],[Cantidad de unidades por bulto]])</f>
        <v>1.8</v>
      </c>
      <c r="G26" s="9">
        <f>Inventario33[[#This Row],[Precio]]*Inventario33[[#This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IF(Inventario33[[#This Row],[Cantidad de unidades por bulto]]=0, 0, Inventario33[[#This Row],[Precio por bulto ($)]]/Inventario33[[#This Row],[Cantidad de unidades por bulto]])</f>
        <v>3.625</v>
      </c>
      <c r="G27" s="9">
        <f>Inventario33[[#This Row],[Precio]]*Inventario33[[#This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IF(Inventario33[[#This Row],[Cantidad de unidades por bulto]]=0, 0, Inventario33[[#This Row],[Precio por bulto ($)]]/Inventario33[[#This Row],[Cantidad de unidades por bulto]])</f>
        <v>0.52083333333333337</v>
      </c>
      <c r="G28" s="9">
        <f>Inventario33[[#This Row],[Precio]]*Inventario33[[#This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IF(Inventario33[[#This Row],[Cantidad de unidades por bulto]]=0, 0, Inventario33[[#This Row],[Precio por bulto ($)]]/Inventario33[[#This Row],[Cantidad de unidades por bulto]])</f>
        <v>29</v>
      </c>
      <c r="G29" s="9">
        <f>Inventario33[[#This Row],[Precio]]*Inventario33[[#This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IF(Inventario33[[#This Row],[Cantidad de unidades por bulto]]=0, 0, Inventario33[[#This Row],[Precio por bulto ($)]]/Inventario33[[#This Row],[Cantidad de unidades por bulto]])</f>
        <v>0.52083333333333337</v>
      </c>
      <c r="G30" s="9">
        <f>Inventario33[[#This Row],[Precio]]*Inventario33[[#This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IF(Inventario33[[#This Row],[Cantidad de unidades por bulto]]=0, 0, Inventario33[[#This Row],[Precio por bulto ($)]]/Inventario33[[#This Row],[Cantidad de unidades por bulto]])</f>
        <v>0.375</v>
      </c>
      <c r="G31" s="9">
        <f>Inventario33[[#This Row],[Precio]]*Inventario33[[#This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IF(Inventario33[[#This Row],[Cantidad de unidades por bulto]]=0, 0, Inventario33[[#This Row],[Precio por bulto ($)]]/Inventario33[[#This Row],[Cantidad de unidades por bulto]])</f>
        <v>7.05</v>
      </c>
      <c r="G32" s="9">
        <f>Inventario33[[#This Row],[Precio]]*Inventario33[[#This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IF(Inventario33[[#This Row],[Cantidad de unidades por bulto]]=0, 0, Inventario33[[#This Row],[Precio por bulto ($)]]/Inventario33[[#This Row],[Cantidad de unidades por bulto]])</f>
        <v>7.05</v>
      </c>
      <c r="G33" s="9">
        <f>Inventario33[[#This Row],[Precio]]*Inventario33[[#This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IF(Inventario33[[#This Row],[Cantidad de unidades por bulto]]=0, 0, Inventario33[[#This Row],[Precio por bulto ($)]]/Inventario33[[#This Row],[Cantidad de unidades por bulto]])</f>
        <v>7.05</v>
      </c>
      <c r="G34" s="9">
        <f>Inventario33[[#This Row],[Precio]]*Inventario33[[#This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IF(Inventario33[[#This Row],[Cantidad de unidades por bulto]]=0, 0, Inventario33[[#This Row],[Precio por bulto ($)]]/Inventario33[[#This Row],[Cantidad de unidades por bulto]])</f>
        <v>1.95</v>
      </c>
      <c r="G35" s="9">
        <f>Inventario33[[#This Row],[Precio]]*Inventario33[[#This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IF(Inventario33[[#This Row],[Cantidad de unidades por bulto]]=0, 0, Inventario33[[#This Row],[Precio por bulto ($)]]/Inventario33[[#This Row],[Cantidad de unidades por bulto]])</f>
        <v>0.3</v>
      </c>
      <c r="G36" s="9">
        <f>Inventario33[[#This Row],[Precio]]*Inventario33[[#This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IF(Inventario33[[#This Row],[Cantidad de unidades por bulto]]=0, 0, Inventario33[[#This Row],[Precio por bulto ($)]]/Inventario33[[#This Row],[Cantidad de unidades por bulto]])</f>
        <v>13.5</v>
      </c>
      <c r="G37" s="9">
        <f>Inventario33[[#This Row],[Precio]]*Inventario33[[#This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IF(Inventario33[[#This Row],[Cantidad de unidades por bulto]]=0, 0, Inventario33[[#This Row],[Precio por bulto ($)]]/Inventario33[[#This Row],[Cantidad de unidades por bulto]])</f>
        <v>11</v>
      </c>
      <c r="G38" s="9">
        <f>Inventario33[[#This Row],[Precio]]*Inventario33[[#This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IF(Inventario33[[#This Row],[Cantidad de unidades por bulto]]=0, 0, Inventario33[[#This Row],[Precio por bulto ($)]]/Inventario33[[#This Row],[Cantidad de unidades por bulto]])</f>
        <v>0.5625</v>
      </c>
      <c r="G39" s="9">
        <f>Inventario33[[#This Row],[Precio]]*Inventario33[[#This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IF(Inventario33[[#This Row],[Cantidad de unidades por bulto]]=0, 0, Inventario33[[#This Row],[Precio por bulto ($)]]/Inventario33[[#This Row],[Cantidad de unidades por bulto]])</f>
        <v>2</v>
      </c>
      <c r="G40" s="9">
        <f>Inventario33[[#This Row],[Precio]]*Inventario33[[#This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265A6-2D00-41C6-AFA2-19F80733D75F}">
  <sheetPr codeName="Hoja29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SUM(Inventario29[Importe])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IF(Inventario29[[#This Row],[Cantidad de unidades por bulto]]=0, 0, Inventario29[[#This Row],[Precio por bulto ($)]]/Inventario29[[#This Row],[Cantidad de unidades por bulto]])</f>
        <v>1.25</v>
      </c>
      <c r="G2" s="9">
        <f>Inventario29[[#This Row],[Precio]]*Inventario29[[#This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IF(Inventario29[[#This Row],[Cantidad de unidades por bulto]]=0, 0, Inventario29[[#This Row],[Precio por bulto ($)]]/Inventario29[[#This Row],[Cantidad de unidades por bulto]])</f>
        <v>1.2250000000000001</v>
      </c>
      <c r="G3" s="9">
        <f>Inventario29[[#This Row],[Precio]]*Inventario29[[#This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IF(Inventario29[[#This Row],[Cantidad de unidades por bulto]]=0, 0, Inventario29[[#This Row],[Precio por bulto ($)]]/Inventario29[[#This Row],[Cantidad de unidades por bulto]])</f>
        <v>0.81</v>
      </c>
      <c r="G4" s="9">
        <f>Inventario29[[#This Row],[Precio]]*Inventario29[[#This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IF(Inventario29[[#This Row],[Cantidad de unidades por bulto]]=0, 0, Inventario29[[#This Row],[Precio por bulto ($)]]/Inventario29[[#This Row],[Cantidad de unidades por bulto]])</f>
        <v>0.8</v>
      </c>
      <c r="G5" s="9">
        <f>Inventario29[[#This Row],[Precio]]*Inventario29[[#This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IF(Inventario29[[#This Row],[Cantidad de unidades por bulto]]=0, 0, Inventario29[[#This Row],[Precio por bulto ($)]]/Inventario29[[#This Row],[Cantidad de unidades por bulto]])</f>
        <v>0.81</v>
      </c>
      <c r="G6" s="9">
        <f>Inventario29[[#This Row],[Precio]]*Inventario29[[#This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IF(Inventario29[[#This Row],[Cantidad de unidades por bulto]]=0, 0, Inventario29[[#This Row],[Precio por bulto ($)]]/Inventario29[[#This Row],[Cantidad de unidades por bulto]])</f>
        <v>0.8773333333333333</v>
      </c>
      <c r="G7" s="9">
        <f>Inventario29[[#This Row],[Precio]]*Inventario29[[#This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IF(Inventario29[[#This Row],[Cantidad de unidades por bulto]]=0, 0, Inventario29[[#This Row],[Precio por bulto ($)]]/Inventario29[[#This Row],[Cantidad de unidades por bulto]])</f>
        <v>0.75</v>
      </c>
      <c r="G8" s="9">
        <f>Inventario29[[#This Row],[Precio]]*Inventario29[[#This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IF(Inventario29[[#This Row],[Cantidad de unidades por bulto]]=0, 0, Inventario29[[#This Row],[Precio por bulto ($)]]/Inventario29[[#This Row],[Cantidad de unidades por bulto]])</f>
        <v>0.75</v>
      </c>
      <c r="G9" s="9">
        <f>Inventario29[[#This Row],[Precio]]*Inventario29[[#This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IF(Inventario29[[#This Row],[Cantidad de unidades por bulto]]=0, 0, Inventario29[[#This Row],[Precio por bulto ($)]]/Inventario29[[#This Row],[Cantidad de unidades por bulto]])</f>
        <v>1.25</v>
      </c>
      <c r="G10" s="9">
        <f>Inventario29[[#This Row],[Precio]]*Inventario29[[#This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IF(Inventario29[[#This Row],[Cantidad de unidades por bulto]]=0, 0, Inventario29[[#This Row],[Precio por bulto ($)]]/Inventario29[[#This Row],[Cantidad de unidades por bulto]])</f>
        <v>11</v>
      </c>
      <c r="G11" s="9">
        <f>Inventario29[[#This Row],[Precio]]*Inventario29[[#This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IF(Inventario29[[#This Row],[Cantidad de unidades por bulto]]=0, 0, Inventario29[[#This Row],[Precio por bulto ($)]]/Inventario29[[#This Row],[Cantidad de unidades por bulto]])</f>
        <v>11</v>
      </c>
      <c r="G12" s="9">
        <f>Inventario29[[#This Row],[Precio]]*Inventario29[[#This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IF(Inventario29[[#This Row],[Cantidad de unidades por bulto]]=0, 0, Inventario29[[#This Row],[Precio por bulto ($)]]/Inventario29[[#This Row],[Cantidad de unidades por bulto]])</f>
        <v>1.25</v>
      </c>
      <c r="G13" s="9">
        <f>Inventario29[[#This Row],[Precio]]*Inventario29[[#This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IF(Inventario29[[#This Row],[Cantidad de unidades por bulto]]=0, 0, Inventario29[[#This Row],[Precio por bulto ($)]]/Inventario29[[#This Row],[Cantidad de unidades por bulto]])</f>
        <v>1.125</v>
      </c>
      <c r="G14" s="9">
        <f>Inventario29[[#This Row],[Precio]]*Inventario29[[#This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IF(Inventario29[[#This Row],[Cantidad de unidades por bulto]]=0, 0, Inventario29[[#This Row],[Precio por bulto ($)]]/Inventario29[[#This Row],[Cantidad de unidades por bulto]])</f>
        <v>0.69916666666666671</v>
      </c>
      <c r="G15" s="9">
        <f>Inventario29[[#This Row],[Precio]]*Inventario29[[#This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IF(Inventario29[[#This Row],[Cantidad de unidades por bulto]]=0, 0, Inventario29[[#This Row],[Precio por bulto ($)]]/Inventario29[[#This Row],[Cantidad de unidades por bulto]])</f>
        <v>1.125</v>
      </c>
      <c r="G16" s="9">
        <f>Inventario29[[#This Row],[Precio]]*Inventario29[[#This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IF(Inventario29[[#This Row],[Cantidad de unidades por bulto]]=0, 0, Inventario29[[#This Row],[Precio por bulto ($)]]/Inventario29[[#This Row],[Cantidad de unidades por bulto]])</f>
        <v>1.125</v>
      </c>
      <c r="G17" s="9">
        <f>Inventario29[[#This Row],[Precio]]*Inventario29[[#This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IF(Inventario29[[#This Row],[Cantidad de unidades por bulto]]=0, 0, Inventario29[[#This Row],[Precio por bulto ($)]]/Inventario29[[#This Row],[Cantidad de unidades por bulto]])</f>
        <v>0.63461538461538458</v>
      </c>
      <c r="G18" s="9">
        <f>Inventario29[[#This Row],[Precio]]*Inventario29[[#This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IF(Inventario29[[#This Row],[Cantidad de unidades por bulto]]=0, 0, Inventario29[[#This Row],[Precio por bulto ($)]]/Inventario29[[#This Row],[Cantidad de unidades por bulto]])</f>
        <v>0.10416666666666667</v>
      </c>
      <c r="G19" s="9">
        <f>Inventario29[[#This Row],[Precio]]*Inventario29[[#This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IF(Inventario29[[#This Row],[Cantidad de unidades por bulto]]=0, 0, Inventario29[[#This Row],[Precio por bulto ($)]]/Inventario29[[#This Row],[Cantidad de unidades por bulto]])</f>
        <v>2.6</v>
      </c>
      <c r="G20" s="9">
        <f>Inventario29[[#This Row],[Precio]]*Inventario29[[#This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IF(Inventario29[[#This Row],[Cantidad de unidades por bulto]]=0, 0, Inventario29[[#This Row],[Precio por bulto ($)]]/Inventario29[[#This Row],[Cantidad de unidades por bulto]])</f>
        <v>0.9</v>
      </c>
      <c r="G21" s="9">
        <f>Inventario29[[#This Row],[Precio]]*Inventario29[[#This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IF(Inventario29[[#This Row],[Cantidad de unidades por bulto]]=0, 0, Inventario29[[#This Row],[Precio por bulto ($)]]/Inventario29[[#This Row],[Cantidad de unidades por bulto]])</f>
        <v>45</v>
      </c>
      <c r="G22" s="9">
        <f>Inventario29[[#This Row],[Precio]]*Inventario29[[#This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IF(Inventario29[[#This Row],[Cantidad de unidades por bulto]]=0, 0, Inventario29[[#This Row],[Precio por bulto ($)]]/Inventario29[[#This Row],[Cantidad de unidades por bulto]])</f>
        <v>1.6</v>
      </c>
      <c r="G23" s="9">
        <f>Inventario29[[#This Row],[Precio]]*Inventario29[[#This Row],[Existencia]]</f>
        <v>0</v>
      </c>
    </row>
    <row r="24" spans="1:7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IF(Inventario29[[#This Row],[Cantidad de unidades por bulto]]=0, 0, Inventario29[[#This Row],[Precio por bulto ($)]]/Inventario29[[#This Row],[Cantidad de unidades por bulto]])</f>
        <v>0.22</v>
      </c>
      <c r="G24" s="9">
        <f>Inventario29[[#This Row],[Precio]]*Inventario29[[#This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IF(Inventario29[[#This Row],[Cantidad de unidades por bulto]]=0, 0, Inventario29[[#This Row],[Precio por bulto ($)]]/Inventario29[[#This Row],[Cantidad de unidades por bulto]])</f>
        <v>0.35166666666666663</v>
      </c>
      <c r="G25" s="9">
        <f>Inventario29[[#This Row],[Precio]]*Inventario29[[#This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IF(Inventario29[[#This Row],[Cantidad de unidades por bulto]]=0, 0, Inventario29[[#This Row],[Precio por bulto ($)]]/Inventario29[[#This Row],[Cantidad de unidades por bulto]])</f>
        <v>1.8</v>
      </c>
      <c r="G26" s="9">
        <f>Inventario29[[#This Row],[Precio]]*Inventario29[[#This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IF(Inventario29[[#This Row],[Cantidad de unidades por bulto]]=0, 0, Inventario29[[#This Row],[Precio por bulto ($)]]/Inventario29[[#This Row],[Cantidad de unidades por bulto]])</f>
        <v>3.625</v>
      </c>
      <c r="G27" s="9">
        <f>Inventario29[[#This Row],[Precio]]*Inventario29[[#This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IF(Inventario29[[#This Row],[Cantidad de unidades por bulto]]=0, 0, Inventario29[[#This Row],[Precio por bulto ($)]]/Inventario29[[#This Row],[Cantidad de unidades por bulto]])</f>
        <v>0.52083333333333337</v>
      </c>
      <c r="G28" s="9">
        <f>Inventario29[[#This Row],[Precio]]*Inventario29[[#This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IF(Inventario29[[#This Row],[Cantidad de unidades por bulto]]=0, 0, Inventario29[[#This Row],[Precio por bulto ($)]]/Inventario29[[#This Row],[Cantidad de unidades por bulto]])</f>
        <v>29</v>
      </c>
      <c r="G29" s="9">
        <f>Inventario29[[#This Row],[Precio]]*Inventario29[[#This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IF(Inventario29[[#This Row],[Cantidad de unidades por bulto]]=0, 0, Inventario29[[#This Row],[Precio por bulto ($)]]/Inventario29[[#This Row],[Cantidad de unidades por bulto]])</f>
        <v>0.52083333333333337</v>
      </c>
      <c r="G30" s="9">
        <f>Inventario29[[#This Row],[Precio]]*Inventario29[[#This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IF(Inventario29[[#This Row],[Cantidad de unidades por bulto]]=0, 0, Inventario29[[#This Row],[Precio por bulto ($)]]/Inventario29[[#This Row],[Cantidad de unidades por bulto]])</f>
        <v>0.375</v>
      </c>
      <c r="G31" s="9">
        <f>Inventario29[[#This Row],[Precio]]*Inventario29[[#This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IF(Inventario29[[#This Row],[Cantidad de unidades por bulto]]=0, 0, Inventario29[[#This Row],[Precio por bulto ($)]]/Inventario29[[#This Row],[Cantidad de unidades por bulto]])</f>
        <v>7.05</v>
      </c>
      <c r="G32" s="9">
        <f>Inventario29[[#This Row],[Precio]]*Inventario29[[#This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IF(Inventario29[[#This Row],[Cantidad de unidades por bulto]]=0, 0, Inventario29[[#This Row],[Precio por bulto ($)]]/Inventario29[[#This Row],[Cantidad de unidades por bulto]])</f>
        <v>7.05</v>
      </c>
      <c r="G33" s="9">
        <f>Inventario29[[#This Row],[Precio]]*Inventario29[[#This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IF(Inventario29[[#This Row],[Cantidad de unidades por bulto]]=0, 0, Inventario29[[#This Row],[Precio por bulto ($)]]/Inventario29[[#This Row],[Cantidad de unidades por bulto]])</f>
        <v>7.05</v>
      </c>
      <c r="G34" s="9">
        <f>Inventario29[[#This Row],[Precio]]*Inventario29[[#This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IF(Inventario29[[#This Row],[Cantidad de unidades por bulto]]=0, 0, Inventario29[[#This Row],[Precio por bulto ($)]]/Inventario29[[#This Row],[Cantidad de unidades por bulto]])</f>
        <v>1.95</v>
      </c>
      <c r="G35" s="9">
        <f>Inventario29[[#This Row],[Precio]]*Inventario29[[#This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IF(Inventario29[[#This Row],[Cantidad de unidades por bulto]]=0, 0, Inventario29[[#This Row],[Precio por bulto ($)]]/Inventario29[[#This Row],[Cantidad de unidades por bulto]])</f>
        <v>0.3</v>
      </c>
      <c r="G36" s="9">
        <f>Inventario29[[#This Row],[Precio]]*Inventario29[[#This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IF(Inventario29[[#This Row],[Cantidad de unidades por bulto]]=0, 0, Inventario29[[#This Row],[Precio por bulto ($)]]/Inventario29[[#This Row],[Cantidad de unidades por bulto]])</f>
        <v>13.5</v>
      </c>
      <c r="G37" s="9">
        <f>Inventario29[[#This Row],[Precio]]*Inventario29[[#This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IF(Inventario29[[#This Row],[Cantidad de unidades por bulto]]=0, 0, Inventario29[[#This Row],[Precio por bulto ($)]]/Inventario29[[#This Row],[Cantidad de unidades por bulto]])</f>
        <v>11</v>
      </c>
      <c r="G38" s="9">
        <f>Inventario29[[#This Row],[Precio]]*Inventario29[[#This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IF(Inventario29[[#This Row],[Cantidad de unidades por bulto]]=0, 0, Inventario29[[#This Row],[Precio por bulto ($)]]/Inventario29[[#This Row],[Cantidad de unidades por bulto]])</f>
        <v>0.5625</v>
      </c>
      <c r="G39" s="9">
        <f>Inventario29[[#This Row],[Precio]]*Inventario29[[#This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IF(Inventario29[[#This Row],[Cantidad de unidades por bulto]]=0, 0, Inventario29[[#This Row],[Precio por bulto ($)]]/Inventario29[[#This Row],[Cantidad de unidades por bulto]])</f>
        <v>2</v>
      </c>
      <c r="G40" s="9">
        <f>Inventario29[[#This Row],[Precio]]*Inventario29[[#This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C00AC-2673-46B0-A80C-6ADE448F2468}">
  <sheetPr codeName="Hoja28"/>
  <dimension ref="A1:J40"/>
  <sheetViews>
    <sheetView topLeftCell="B1"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SUM(Inventario28[Importe])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IF(Inventario28[[#This Row],[Cantidad de unidades por bulto]]=0, 0, Inventario28[[#This Row],[Precio por bulto ($)]]/Inventario28[[#This Row],[Cantidad de unidades por bulto]])</f>
        <v>1.25</v>
      </c>
      <c r="G2" s="9">
        <f>Inventario28[[#This Row],[Precio]]*Inventario28[[#This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IF(Inventario28[[#This Row],[Cantidad de unidades por bulto]]=0, 0, Inventario28[[#This Row],[Precio por bulto ($)]]/Inventario28[[#This Row],[Cantidad de unidades por bulto]])</f>
        <v>1.2250000000000001</v>
      </c>
      <c r="G3" s="9">
        <f>Inventario28[[#This Row],[Precio]]*Inventario28[[#This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IF(Inventario28[[#This Row],[Cantidad de unidades por bulto]]=0, 0, Inventario28[[#This Row],[Precio por bulto ($)]]/Inventario28[[#This Row],[Cantidad de unidades por bulto]])</f>
        <v>0.81</v>
      </c>
      <c r="G4" s="9">
        <f>Inventario28[[#This Row],[Precio]]*Inventario28[[#This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IF(Inventario28[[#This Row],[Cantidad de unidades por bulto]]=0, 0, Inventario28[[#This Row],[Precio por bulto ($)]]/Inventario28[[#This Row],[Cantidad de unidades por bulto]])</f>
        <v>0.8</v>
      </c>
      <c r="G5" s="9">
        <f>Inventario28[[#This Row],[Precio]]*Inventario28[[#This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IF(Inventario28[[#This Row],[Cantidad de unidades por bulto]]=0, 0, Inventario28[[#This Row],[Precio por bulto ($)]]/Inventario28[[#This Row],[Cantidad de unidades por bulto]])</f>
        <v>0.81</v>
      </c>
      <c r="G6" s="9">
        <f>Inventario28[[#This Row],[Precio]]*Inventario28[[#This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IF(Inventario28[[#This Row],[Cantidad de unidades por bulto]]=0, 0, Inventario28[[#This Row],[Precio por bulto ($)]]/Inventario28[[#This Row],[Cantidad de unidades por bulto]])</f>
        <v>0.8773333333333333</v>
      </c>
      <c r="G7" s="9">
        <f>Inventario28[[#This Row],[Precio]]*Inventario28[[#This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IF(Inventario28[[#This Row],[Cantidad de unidades por bulto]]=0, 0, Inventario28[[#This Row],[Precio por bulto ($)]]/Inventario28[[#This Row],[Cantidad de unidades por bulto]])</f>
        <v>0.75</v>
      </c>
      <c r="G8" s="9">
        <f>Inventario28[[#This Row],[Precio]]*Inventario28[[#This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IF(Inventario28[[#This Row],[Cantidad de unidades por bulto]]=0, 0, Inventario28[[#This Row],[Precio por bulto ($)]]/Inventario28[[#This Row],[Cantidad de unidades por bulto]])</f>
        <v>0.75</v>
      </c>
      <c r="G9" s="9">
        <f>Inventario28[[#This Row],[Precio]]*Inventario28[[#This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IF(Inventario28[[#This Row],[Cantidad de unidades por bulto]]=0, 0, Inventario28[[#This Row],[Precio por bulto ($)]]/Inventario28[[#This Row],[Cantidad de unidades por bulto]])</f>
        <v>1.25</v>
      </c>
      <c r="G10" s="9">
        <f>Inventario28[[#This Row],[Precio]]*Inventario28[[#This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IF(Inventario28[[#This Row],[Cantidad de unidades por bulto]]=0, 0, Inventario28[[#This Row],[Precio por bulto ($)]]/Inventario28[[#This Row],[Cantidad de unidades por bulto]])</f>
        <v>11</v>
      </c>
      <c r="G11" s="9">
        <f>Inventario28[[#This Row],[Precio]]*Inventario28[[#This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IF(Inventario28[[#This Row],[Cantidad de unidades por bulto]]=0, 0, Inventario28[[#This Row],[Precio por bulto ($)]]/Inventario28[[#This Row],[Cantidad de unidades por bulto]])</f>
        <v>11</v>
      </c>
      <c r="G12" s="9">
        <f>Inventario28[[#This Row],[Precio]]*Inventario28[[#This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IF(Inventario28[[#This Row],[Cantidad de unidades por bulto]]=0, 0, Inventario28[[#This Row],[Precio por bulto ($)]]/Inventario28[[#This Row],[Cantidad de unidades por bulto]])</f>
        <v>1.25</v>
      </c>
      <c r="G13" s="9">
        <f>Inventario28[[#This Row],[Precio]]*Inventario28[[#This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IF(Inventario28[[#This Row],[Cantidad de unidades por bulto]]=0, 0, Inventario28[[#This Row],[Precio por bulto ($)]]/Inventario28[[#This Row],[Cantidad de unidades por bulto]])</f>
        <v>1.125</v>
      </c>
      <c r="G14" s="9">
        <f>Inventario28[[#This Row],[Precio]]*Inventario28[[#This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IF(Inventario28[[#This Row],[Cantidad de unidades por bulto]]=0, 0, Inventario28[[#This Row],[Precio por bulto ($)]]/Inventario28[[#This Row],[Cantidad de unidades por bulto]])</f>
        <v>0.69916666666666671</v>
      </c>
      <c r="G15" s="9">
        <f>Inventario28[[#This Row],[Precio]]*Inventario28[[#This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IF(Inventario28[[#This Row],[Cantidad de unidades por bulto]]=0, 0, Inventario28[[#This Row],[Precio por bulto ($)]]/Inventario28[[#This Row],[Cantidad de unidades por bulto]])</f>
        <v>1.125</v>
      </c>
      <c r="G16" s="9">
        <f>Inventario28[[#This Row],[Precio]]*Inventario28[[#This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IF(Inventario28[[#This Row],[Cantidad de unidades por bulto]]=0, 0, Inventario28[[#This Row],[Precio por bulto ($)]]/Inventario28[[#This Row],[Cantidad de unidades por bulto]])</f>
        <v>1.125</v>
      </c>
      <c r="G17" s="9">
        <f>Inventario28[[#This Row],[Precio]]*Inventario28[[#This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IF(Inventario28[[#This Row],[Cantidad de unidades por bulto]]=0, 0, Inventario28[[#This Row],[Precio por bulto ($)]]/Inventario28[[#This Row],[Cantidad de unidades por bulto]])</f>
        <v>0.63461538461538458</v>
      </c>
      <c r="G18" s="9">
        <f>Inventario28[[#This Row],[Precio]]*Inventario28[[#This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IF(Inventario28[[#This Row],[Cantidad de unidades por bulto]]=0, 0, Inventario28[[#This Row],[Precio por bulto ($)]]/Inventario28[[#This Row],[Cantidad de unidades por bulto]])</f>
        <v>0.10416666666666667</v>
      </c>
      <c r="G19" s="9">
        <f>Inventario28[[#This Row],[Precio]]*Inventario28[[#This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IF(Inventario28[[#This Row],[Cantidad de unidades por bulto]]=0, 0, Inventario28[[#This Row],[Precio por bulto ($)]]/Inventario28[[#This Row],[Cantidad de unidades por bulto]])</f>
        <v>2.6</v>
      </c>
      <c r="G20" s="9">
        <f>Inventario28[[#This Row],[Precio]]*Inventario28[[#This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IF(Inventario28[[#This Row],[Cantidad de unidades por bulto]]=0, 0, Inventario28[[#This Row],[Precio por bulto ($)]]/Inventario28[[#This Row],[Cantidad de unidades por bulto]])</f>
        <v>0.9</v>
      </c>
      <c r="G21" s="9">
        <f>Inventario28[[#This Row],[Precio]]*Inventario28[[#This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IF(Inventario28[[#This Row],[Cantidad de unidades por bulto]]=0, 0, Inventario28[[#This Row],[Precio por bulto ($)]]/Inventario28[[#This Row],[Cantidad de unidades por bulto]])</f>
        <v>45</v>
      </c>
      <c r="G22" s="9">
        <f>Inventario28[[#This Row],[Precio]]*Inventario28[[#This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IF(Inventario28[[#This Row],[Cantidad de unidades por bulto]]=0, 0, Inventario28[[#This Row],[Precio por bulto ($)]]/Inventario28[[#This Row],[Cantidad de unidades por bulto]])</f>
        <v>1.6</v>
      </c>
      <c r="G23" s="9">
        <f>Inventario28[[#This Row],[Precio]]*Inventario28[[#This Row],[Existencia]]</f>
        <v>0</v>
      </c>
    </row>
    <row r="24" spans="1:7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IF(Inventario28[[#This Row],[Cantidad de unidades por bulto]]=0, 0, Inventario28[[#This Row],[Precio por bulto ($)]]/Inventario28[[#This Row],[Cantidad de unidades por bulto]])</f>
        <v>0.22</v>
      </c>
      <c r="G24" s="9">
        <f>Inventario28[[#This Row],[Precio]]*Inventario28[[#This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IF(Inventario28[[#This Row],[Cantidad de unidades por bulto]]=0, 0, Inventario28[[#This Row],[Precio por bulto ($)]]/Inventario28[[#This Row],[Cantidad de unidades por bulto]])</f>
        <v>0.35166666666666663</v>
      </c>
      <c r="G25" s="9">
        <f>Inventario28[[#This Row],[Precio]]*Inventario28[[#This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IF(Inventario28[[#This Row],[Cantidad de unidades por bulto]]=0, 0, Inventario28[[#This Row],[Precio por bulto ($)]]/Inventario28[[#This Row],[Cantidad de unidades por bulto]])</f>
        <v>1.8</v>
      </c>
      <c r="G26" s="9">
        <f>Inventario28[[#This Row],[Precio]]*Inventario28[[#This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IF(Inventario28[[#This Row],[Cantidad de unidades por bulto]]=0, 0, Inventario28[[#This Row],[Precio por bulto ($)]]/Inventario28[[#This Row],[Cantidad de unidades por bulto]])</f>
        <v>3.625</v>
      </c>
      <c r="G27" s="9">
        <f>Inventario28[[#This Row],[Precio]]*Inventario28[[#This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IF(Inventario28[[#This Row],[Cantidad de unidades por bulto]]=0, 0, Inventario28[[#This Row],[Precio por bulto ($)]]/Inventario28[[#This Row],[Cantidad de unidades por bulto]])</f>
        <v>0.52083333333333337</v>
      </c>
      <c r="G28" s="9">
        <f>Inventario28[[#This Row],[Precio]]*Inventario28[[#This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IF(Inventario28[[#This Row],[Cantidad de unidades por bulto]]=0, 0, Inventario28[[#This Row],[Precio por bulto ($)]]/Inventario28[[#This Row],[Cantidad de unidades por bulto]])</f>
        <v>29</v>
      </c>
      <c r="G29" s="9">
        <f>Inventario28[[#This Row],[Precio]]*Inventario28[[#This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IF(Inventario28[[#This Row],[Cantidad de unidades por bulto]]=0, 0, Inventario28[[#This Row],[Precio por bulto ($)]]/Inventario28[[#This Row],[Cantidad de unidades por bulto]])</f>
        <v>0.52083333333333337</v>
      </c>
      <c r="G30" s="9">
        <f>Inventario28[[#This Row],[Precio]]*Inventario28[[#This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IF(Inventario28[[#This Row],[Cantidad de unidades por bulto]]=0, 0, Inventario28[[#This Row],[Precio por bulto ($)]]/Inventario28[[#This Row],[Cantidad de unidades por bulto]])</f>
        <v>0.375</v>
      </c>
      <c r="G31" s="9">
        <f>Inventario28[[#This Row],[Precio]]*Inventario28[[#This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IF(Inventario28[[#This Row],[Cantidad de unidades por bulto]]=0, 0, Inventario28[[#This Row],[Precio por bulto ($)]]/Inventario28[[#This Row],[Cantidad de unidades por bulto]])</f>
        <v>7.05</v>
      </c>
      <c r="G32" s="9">
        <f>Inventario28[[#This Row],[Precio]]*Inventario28[[#This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IF(Inventario28[[#This Row],[Cantidad de unidades por bulto]]=0, 0, Inventario28[[#This Row],[Precio por bulto ($)]]/Inventario28[[#This Row],[Cantidad de unidades por bulto]])</f>
        <v>7.05</v>
      </c>
      <c r="G33" s="9">
        <f>Inventario28[[#This Row],[Precio]]*Inventario28[[#This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IF(Inventario28[[#This Row],[Cantidad de unidades por bulto]]=0, 0, Inventario28[[#This Row],[Precio por bulto ($)]]/Inventario28[[#This Row],[Cantidad de unidades por bulto]])</f>
        <v>7.05</v>
      </c>
      <c r="G34" s="9">
        <f>Inventario28[[#This Row],[Precio]]*Inventario28[[#This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IF(Inventario28[[#This Row],[Cantidad de unidades por bulto]]=0, 0, Inventario28[[#This Row],[Precio por bulto ($)]]/Inventario28[[#This Row],[Cantidad de unidades por bulto]])</f>
        <v>1.95</v>
      </c>
      <c r="G35" s="9">
        <f>Inventario28[[#This Row],[Precio]]*Inventario28[[#This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IF(Inventario28[[#This Row],[Cantidad de unidades por bulto]]=0, 0, Inventario28[[#This Row],[Precio por bulto ($)]]/Inventario28[[#This Row],[Cantidad de unidades por bulto]])</f>
        <v>0.3</v>
      </c>
      <c r="G36" s="9">
        <f>Inventario28[[#This Row],[Precio]]*Inventario28[[#This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IF(Inventario28[[#This Row],[Cantidad de unidades por bulto]]=0, 0, Inventario28[[#This Row],[Precio por bulto ($)]]/Inventario28[[#This Row],[Cantidad de unidades por bulto]])</f>
        <v>13.5</v>
      </c>
      <c r="G37" s="9">
        <f>Inventario28[[#This Row],[Precio]]*Inventario28[[#This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IF(Inventario28[[#This Row],[Cantidad de unidades por bulto]]=0, 0, Inventario28[[#This Row],[Precio por bulto ($)]]/Inventario28[[#This Row],[Cantidad de unidades por bulto]])</f>
        <v>11</v>
      </c>
      <c r="G38" s="9">
        <f>Inventario28[[#This Row],[Precio]]*Inventario28[[#This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IF(Inventario28[[#This Row],[Cantidad de unidades por bulto]]=0, 0, Inventario28[[#This Row],[Precio por bulto ($)]]/Inventario28[[#This Row],[Cantidad de unidades por bulto]])</f>
        <v>0.5625</v>
      </c>
      <c r="G39" s="9">
        <f>Inventario28[[#This Row],[Precio]]*Inventario28[[#This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IF(Inventario28[[#This Row],[Cantidad de unidades por bulto]]=0, 0, Inventario28[[#This Row],[Precio por bulto ($)]]/Inventario28[[#This Row],[Cantidad de unidades por bulto]])</f>
        <v>2</v>
      </c>
      <c r="G40" s="9">
        <f>Inventario28[[#This Row],[Precio]]*Inventario28[[#This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13874-7A8A-4B2D-8045-2D6B4D6D7B12}">
  <sheetPr codeName="Hoja27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SUM(Inventario27[Importe])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IF(Inventario27[[#This Row],[Cantidad de unidades por bulto]]=0, 0, Inventario27[[#This Row],[Precio por bulto ($)]]/Inventario27[[#This Row],[Cantidad de unidades por bulto]])</f>
        <v>1.25</v>
      </c>
      <c r="G2" s="9">
        <f>Inventario27[[#This Row],[Precio]]*Inventario27[[#This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IF(Inventario27[[#This Row],[Cantidad de unidades por bulto]]=0, 0, Inventario27[[#This Row],[Precio por bulto ($)]]/Inventario27[[#This Row],[Cantidad de unidades por bulto]])</f>
        <v>1.2250000000000001</v>
      </c>
      <c r="G3" s="9">
        <f>Inventario27[[#This Row],[Precio]]*Inventario27[[#This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IF(Inventario27[[#This Row],[Cantidad de unidades por bulto]]=0, 0, Inventario27[[#This Row],[Precio por bulto ($)]]/Inventario27[[#This Row],[Cantidad de unidades por bulto]])</f>
        <v>0.81</v>
      </c>
      <c r="G4" s="9">
        <f>Inventario27[[#This Row],[Precio]]*Inventario27[[#This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IF(Inventario27[[#This Row],[Cantidad de unidades por bulto]]=0, 0, Inventario27[[#This Row],[Precio por bulto ($)]]/Inventario27[[#This Row],[Cantidad de unidades por bulto]])</f>
        <v>0.8</v>
      </c>
      <c r="G5" s="9">
        <f>Inventario27[[#This Row],[Precio]]*Inventario27[[#This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IF(Inventario27[[#This Row],[Cantidad de unidades por bulto]]=0, 0, Inventario27[[#This Row],[Precio por bulto ($)]]/Inventario27[[#This Row],[Cantidad de unidades por bulto]])</f>
        <v>0.81</v>
      </c>
      <c r="G6" s="9">
        <f>Inventario27[[#This Row],[Precio]]*Inventario27[[#This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IF(Inventario27[[#This Row],[Cantidad de unidades por bulto]]=0, 0, Inventario27[[#This Row],[Precio por bulto ($)]]/Inventario27[[#This Row],[Cantidad de unidades por bulto]])</f>
        <v>0.8773333333333333</v>
      </c>
      <c r="G7" s="9">
        <f>Inventario27[[#This Row],[Precio]]*Inventario27[[#This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IF(Inventario27[[#This Row],[Cantidad de unidades por bulto]]=0, 0, Inventario27[[#This Row],[Precio por bulto ($)]]/Inventario27[[#This Row],[Cantidad de unidades por bulto]])</f>
        <v>0.75</v>
      </c>
      <c r="G8" s="9">
        <f>Inventario27[[#This Row],[Precio]]*Inventario27[[#This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IF(Inventario27[[#This Row],[Cantidad de unidades por bulto]]=0, 0, Inventario27[[#This Row],[Precio por bulto ($)]]/Inventario27[[#This Row],[Cantidad de unidades por bulto]])</f>
        <v>0.75</v>
      </c>
      <c r="G9" s="9">
        <f>Inventario27[[#This Row],[Precio]]*Inventario27[[#This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IF(Inventario27[[#This Row],[Cantidad de unidades por bulto]]=0, 0, Inventario27[[#This Row],[Precio por bulto ($)]]/Inventario27[[#This Row],[Cantidad de unidades por bulto]])</f>
        <v>1.25</v>
      </c>
      <c r="G10" s="9">
        <f>Inventario27[[#This Row],[Precio]]*Inventario27[[#This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IF(Inventario27[[#This Row],[Cantidad de unidades por bulto]]=0, 0, Inventario27[[#This Row],[Precio por bulto ($)]]/Inventario27[[#This Row],[Cantidad de unidades por bulto]])</f>
        <v>11</v>
      </c>
      <c r="G11" s="9">
        <f>Inventario27[[#This Row],[Precio]]*Inventario27[[#This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IF(Inventario27[[#This Row],[Cantidad de unidades por bulto]]=0, 0, Inventario27[[#This Row],[Precio por bulto ($)]]/Inventario27[[#This Row],[Cantidad de unidades por bulto]])</f>
        <v>11</v>
      </c>
      <c r="G12" s="9">
        <f>Inventario27[[#This Row],[Precio]]*Inventario27[[#This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IF(Inventario27[[#This Row],[Cantidad de unidades por bulto]]=0, 0, Inventario27[[#This Row],[Precio por bulto ($)]]/Inventario27[[#This Row],[Cantidad de unidades por bulto]])</f>
        <v>1.25</v>
      </c>
      <c r="G13" s="9">
        <f>Inventario27[[#This Row],[Precio]]*Inventario27[[#This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IF(Inventario27[[#This Row],[Cantidad de unidades por bulto]]=0, 0, Inventario27[[#This Row],[Precio por bulto ($)]]/Inventario27[[#This Row],[Cantidad de unidades por bulto]])</f>
        <v>1.125</v>
      </c>
      <c r="G14" s="9">
        <f>Inventario27[[#This Row],[Precio]]*Inventario27[[#This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IF(Inventario27[[#This Row],[Cantidad de unidades por bulto]]=0, 0, Inventario27[[#This Row],[Precio por bulto ($)]]/Inventario27[[#This Row],[Cantidad de unidades por bulto]])</f>
        <v>0.69916666666666671</v>
      </c>
      <c r="G15" s="9">
        <f>Inventario27[[#This Row],[Precio]]*Inventario27[[#This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IF(Inventario27[[#This Row],[Cantidad de unidades por bulto]]=0, 0, Inventario27[[#This Row],[Precio por bulto ($)]]/Inventario27[[#This Row],[Cantidad de unidades por bulto]])</f>
        <v>1.125</v>
      </c>
      <c r="G16" s="9">
        <f>Inventario27[[#This Row],[Precio]]*Inventario27[[#This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IF(Inventario27[[#This Row],[Cantidad de unidades por bulto]]=0, 0, Inventario27[[#This Row],[Precio por bulto ($)]]/Inventario27[[#This Row],[Cantidad de unidades por bulto]])</f>
        <v>1.125</v>
      </c>
      <c r="G17" s="9">
        <f>Inventario27[[#This Row],[Precio]]*Inventario27[[#This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IF(Inventario27[[#This Row],[Cantidad de unidades por bulto]]=0, 0, Inventario27[[#This Row],[Precio por bulto ($)]]/Inventario27[[#This Row],[Cantidad de unidades por bulto]])</f>
        <v>0.63461538461538458</v>
      </c>
      <c r="G18" s="9">
        <f>Inventario27[[#This Row],[Precio]]*Inventario27[[#This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IF(Inventario27[[#This Row],[Cantidad de unidades por bulto]]=0, 0, Inventario27[[#This Row],[Precio por bulto ($)]]/Inventario27[[#This Row],[Cantidad de unidades por bulto]])</f>
        <v>0.10416666666666667</v>
      </c>
      <c r="G19" s="9">
        <f>Inventario27[[#This Row],[Precio]]*Inventario27[[#This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IF(Inventario27[[#This Row],[Cantidad de unidades por bulto]]=0, 0, Inventario27[[#This Row],[Precio por bulto ($)]]/Inventario27[[#This Row],[Cantidad de unidades por bulto]])</f>
        <v>2.6</v>
      </c>
      <c r="G20" s="9">
        <f>Inventario27[[#This Row],[Precio]]*Inventario27[[#This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IF(Inventario27[[#This Row],[Cantidad de unidades por bulto]]=0, 0, Inventario27[[#This Row],[Precio por bulto ($)]]/Inventario27[[#This Row],[Cantidad de unidades por bulto]])</f>
        <v>0.9</v>
      </c>
      <c r="G21" s="9">
        <f>Inventario27[[#This Row],[Precio]]*Inventario27[[#This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IF(Inventario27[[#This Row],[Cantidad de unidades por bulto]]=0, 0, Inventario27[[#This Row],[Precio por bulto ($)]]/Inventario27[[#This Row],[Cantidad de unidades por bulto]])</f>
        <v>45</v>
      </c>
      <c r="G22" s="9">
        <f>Inventario27[[#This Row],[Precio]]*Inventario27[[#This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IF(Inventario27[[#This Row],[Cantidad de unidades por bulto]]=0, 0, Inventario27[[#This Row],[Precio por bulto ($)]]/Inventario27[[#This Row],[Cantidad de unidades por bulto]])</f>
        <v>1.6</v>
      </c>
      <c r="G23" s="9">
        <f>Inventario27[[#This Row],[Precio]]*Inventario27[[#This Row],[Existencia]]</f>
        <v>0</v>
      </c>
    </row>
    <row r="24" spans="1:7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IF(Inventario27[[#This Row],[Cantidad de unidades por bulto]]=0, 0, Inventario27[[#This Row],[Precio por bulto ($)]]/Inventario27[[#This Row],[Cantidad de unidades por bulto]])</f>
        <v>0.22</v>
      </c>
      <c r="G24" s="9">
        <f>Inventario27[[#This Row],[Precio]]*Inventario27[[#This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IF(Inventario27[[#This Row],[Cantidad de unidades por bulto]]=0, 0, Inventario27[[#This Row],[Precio por bulto ($)]]/Inventario27[[#This Row],[Cantidad de unidades por bulto]])</f>
        <v>0.35166666666666663</v>
      </c>
      <c r="G25" s="9">
        <f>Inventario27[[#This Row],[Precio]]*Inventario27[[#This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IF(Inventario27[[#This Row],[Cantidad de unidades por bulto]]=0, 0, Inventario27[[#This Row],[Precio por bulto ($)]]/Inventario27[[#This Row],[Cantidad de unidades por bulto]])</f>
        <v>1.8</v>
      </c>
      <c r="G26" s="9">
        <f>Inventario27[[#This Row],[Precio]]*Inventario27[[#This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IF(Inventario27[[#This Row],[Cantidad de unidades por bulto]]=0, 0, Inventario27[[#This Row],[Precio por bulto ($)]]/Inventario27[[#This Row],[Cantidad de unidades por bulto]])</f>
        <v>3.625</v>
      </c>
      <c r="G27" s="9">
        <f>Inventario27[[#This Row],[Precio]]*Inventario27[[#This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IF(Inventario27[[#This Row],[Cantidad de unidades por bulto]]=0, 0, Inventario27[[#This Row],[Precio por bulto ($)]]/Inventario27[[#This Row],[Cantidad de unidades por bulto]])</f>
        <v>0.52083333333333337</v>
      </c>
      <c r="G28" s="9">
        <f>Inventario27[[#This Row],[Precio]]*Inventario27[[#This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IF(Inventario27[[#This Row],[Cantidad de unidades por bulto]]=0, 0, Inventario27[[#This Row],[Precio por bulto ($)]]/Inventario27[[#This Row],[Cantidad de unidades por bulto]])</f>
        <v>29</v>
      </c>
      <c r="G29" s="9">
        <f>Inventario27[[#This Row],[Precio]]*Inventario27[[#This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IF(Inventario27[[#This Row],[Cantidad de unidades por bulto]]=0, 0, Inventario27[[#This Row],[Precio por bulto ($)]]/Inventario27[[#This Row],[Cantidad de unidades por bulto]])</f>
        <v>0.52083333333333337</v>
      </c>
      <c r="G30" s="9">
        <f>Inventario27[[#This Row],[Precio]]*Inventario27[[#This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IF(Inventario27[[#This Row],[Cantidad de unidades por bulto]]=0, 0, Inventario27[[#This Row],[Precio por bulto ($)]]/Inventario27[[#This Row],[Cantidad de unidades por bulto]])</f>
        <v>0.375</v>
      </c>
      <c r="G31" s="9">
        <f>Inventario27[[#This Row],[Precio]]*Inventario27[[#This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IF(Inventario27[[#This Row],[Cantidad de unidades por bulto]]=0, 0, Inventario27[[#This Row],[Precio por bulto ($)]]/Inventario27[[#This Row],[Cantidad de unidades por bulto]])</f>
        <v>7.05</v>
      </c>
      <c r="G32" s="9">
        <f>Inventario27[[#This Row],[Precio]]*Inventario27[[#This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IF(Inventario27[[#This Row],[Cantidad de unidades por bulto]]=0, 0, Inventario27[[#This Row],[Precio por bulto ($)]]/Inventario27[[#This Row],[Cantidad de unidades por bulto]])</f>
        <v>7.05</v>
      </c>
      <c r="G33" s="9">
        <f>Inventario27[[#This Row],[Precio]]*Inventario27[[#This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IF(Inventario27[[#This Row],[Cantidad de unidades por bulto]]=0, 0, Inventario27[[#This Row],[Precio por bulto ($)]]/Inventario27[[#This Row],[Cantidad de unidades por bulto]])</f>
        <v>7.05</v>
      </c>
      <c r="G34" s="9">
        <f>Inventario27[[#This Row],[Precio]]*Inventario27[[#This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IF(Inventario27[[#This Row],[Cantidad de unidades por bulto]]=0, 0, Inventario27[[#This Row],[Precio por bulto ($)]]/Inventario27[[#This Row],[Cantidad de unidades por bulto]])</f>
        <v>1.95</v>
      </c>
      <c r="G35" s="9">
        <f>Inventario27[[#This Row],[Precio]]*Inventario27[[#This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IF(Inventario27[[#This Row],[Cantidad de unidades por bulto]]=0, 0, Inventario27[[#This Row],[Precio por bulto ($)]]/Inventario27[[#This Row],[Cantidad de unidades por bulto]])</f>
        <v>0.3</v>
      </c>
      <c r="G36" s="9">
        <f>Inventario27[[#This Row],[Precio]]*Inventario27[[#This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IF(Inventario27[[#This Row],[Cantidad de unidades por bulto]]=0, 0, Inventario27[[#This Row],[Precio por bulto ($)]]/Inventario27[[#This Row],[Cantidad de unidades por bulto]])</f>
        <v>13.5</v>
      </c>
      <c r="G37" s="9">
        <f>Inventario27[[#This Row],[Precio]]*Inventario27[[#This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IF(Inventario27[[#This Row],[Cantidad de unidades por bulto]]=0, 0, Inventario27[[#This Row],[Precio por bulto ($)]]/Inventario27[[#This Row],[Cantidad de unidades por bulto]])</f>
        <v>11</v>
      </c>
      <c r="G38" s="9">
        <f>Inventario27[[#This Row],[Precio]]*Inventario27[[#This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IF(Inventario27[[#This Row],[Cantidad de unidades por bulto]]=0, 0, Inventario27[[#This Row],[Precio por bulto ($)]]/Inventario27[[#This Row],[Cantidad de unidades por bulto]])</f>
        <v>0.5625</v>
      </c>
      <c r="G39" s="9">
        <f>Inventario27[[#This Row],[Precio]]*Inventario27[[#This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IF(Inventario27[[#This Row],[Cantidad de unidades por bulto]]=0, 0, Inventario27[[#This Row],[Precio por bulto ($)]]/Inventario27[[#This Row],[Cantidad de unidades por bulto]])</f>
        <v>2</v>
      </c>
      <c r="G40" s="9">
        <f>Inventario27[[#This Row],[Precio]]*Inventario27[[#This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9C659-F666-4FD4-8F05-3E7173B5DFF2}">
  <sheetPr codeName="Hoja26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SUM(Inventario26[Importe])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IF(Inventario26[[#This Row],[Cantidad de unidades por bulto]]=0, 0, Inventario26[[#This Row],[Precio por bulto ($)]]/Inventario26[[#This Row],[Cantidad de unidades por bulto]])</f>
        <v>1.25</v>
      </c>
      <c r="G2" s="9">
        <f>Inventario26[[#This Row],[Precio]]*Inventario26[[#This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IF(Inventario26[[#This Row],[Cantidad de unidades por bulto]]=0, 0, Inventario26[[#This Row],[Precio por bulto ($)]]/Inventario26[[#This Row],[Cantidad de unidades por bulto]])</f>
        <v>1.2250000000000001</v>
      </c>
      <c r="G3" s="9">
        <f>Inventario26[[#This Row],[Precio]]*Inventario26[[#This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IF(Inventario26[[#This Row],[Cantidad de unidades por bulto]]=0, 0, Inventario26[[#This Row],[Precio por bulto ($)]]/Inventario26[[#This Row],[Cantidad de unidades por bulto]])</f>
        <v>0.81</v>
      </c>
      <c r="G4" s="9">
        <f>Inventario26[[#This Row],[Precio]]*Inventario26[[#This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IF(Inventario26[[#This Row],[Cantidad de unidades por bulto]]=0, 0, Inventario26[[#This Row],[Precio por bulto ($)]]/Inventario26[[#This Row],[Cantidad de unidades por bulto]])</f>
        <v>0.8</v>
      </c>
      <c r="G5" s="9">
        <f>Inventario26[[#This Row],[Precio]]*Inventario26[[#This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IF(Inventario26[[#This Row],[Cantidad de unidades por bulto]]=0, 0, Inventario26[[#This Row],[Precio por bulto ($)]]/Inventario26[[#This Row],[Cantidad de unidades por bulto]])</f>
        <v>0.81</v>
      </c>
      <c r="G6" s="9">
        <f>Inventario26[[#This Row],[Precio]]*Inventario26[[#This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IF(Inventario26[[#This Row],[Cantidad de unidades por bulto]]=0, 0, Inventario26[[#This Row],[Precio por bulto ($)]]/Inventario26[[#This Row],[Cantidad de unidades por bulto]])</f>
        <v>0.8773333333333333</v>
      </c>
      <c r="G7" s="9">
        <f>Inventario26[[#This Row],[Precio]]*Inventario26[[#This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IF(Inventario26[[#This Row],[Cantidad de unidades por bulto]]=0, 0, Inventario26[[#This Row],[Precio por bulto ($)]]/Inventario26[[#This Row],[Cantidad de unidades por bulto]])</f>
        <v>0.75</v>
      </c>
      <c r="G8" s="9">
        <f>Inventario26[[#This Row],[Precio]]*Inventario26[[#This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IF(Inventario26[[#This Row],[Cantidad de unidades por bulto]]=0, 0, Inventario26[[#This Row],[Precio por bulto ($)]]/Inventario26[[#This Row],[Cantidad de unidades por bulto]])</f>
        <v>0.75</v>
      </c>
      <c r="G9" s="9">
        <f>Inventario26[[#This Row],[Precio]]*Inventario26[[#This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IF(Inventario26[[#This Row],[Cantidad de unidades por bulto]]=0, 0, Inventario26[[#This Row],[Precio por bulto ($)]]/Inventario26[[#This Row],[Cantidad de unidades por bulto]])</f>
        <v>1.25</v>
      </c>
      <c r="G10" s="9">
        <f>Inventario26[[#This Row],[Precio]]*Inventario26[[#This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IF(Inventario26[[#This Row],[Cantidad de unidades por bulto]]=0, 0, Inventario26[[#This Row],[Precio por bulto ($)]]/Inventario26[[#This Row],[Cantidad de unidades por bulto]])</f>
        <v>11</v>
      </c>
      <c r="G11" s="9">
        <f>Inventario26[[#This Row],[Precio]]*Inventario26[[#This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IF(Inventario26[[#This Row],[Cantidad de unidades por bulto]]=0, 0, Inventario26[[#This Row],[Precio por bulto ($)]]/Inventario26[[#This Row],[Cantidad de unidades por bulto]])</f>
        <v>11</v>
      </c>
      <c r="G12" s="9">
        <f>Inventario26[[#This Row],[Precio]]*Inventario26[[#This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IF(Inventario26[[#This Row],[Cantidad de unidades por bulto]]=0, 0, Inventario26[[#This Row],[Precio por bulto ($)]]/Inventario26[[#This Row],[Cantidad de unidades por bulto]])</f>
        <v>1.25</v>
      </c>
      <c r="G13" s="9">
        <f>Inventario26[[#This Row],[Precio]]*Inventario26[[#This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IF(Inventario26[[#This Row],[Cantidad de unidades por bulto]]=0, 0, Inventario26[[#This Row],[Precio por bulto ($)]]/Inventario26[[#This Row],[Cantidad de unidades por bulto]])</f>
        <v>1.125</v>
      </c>
      <c r="G14" s="9">
        <f>Inventario26[[#This Row],[Precio]]*Inventario26[[#This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IF(Inventario26[[#This Row],[Cantidad de unidades por bulto]]=0, 0, Inventario26[[#This Row],[Precio por bulto ($)]]/Inventario26[[#This Row],[Cantidad de unidades por bulto]])</f>
        <v>0.69916666666666671</v>
      </c>
      <c r="G15" s="9">
        <f>Inventario26[[#This Row],[Precio]]*Inventario26[[#This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IF(Inventario26[[#This Row],[Cantidad de unidades por bulto]]=0, 0, Inventario26[[#This Row],[Precio por bulto ($)]]/Inventario26[[#This Row],[Cantidad de unidades por bulto]])</f>
        <v>1.125</v>
      </c>
      <c r="G16" s="9">
        <f>Inventario26[[#This Row],[Precio]]*Inventario26[[#This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IF(Inventario26[[#This Row],[Cantidad de unidades por bulto]]=0, 0, Inventario26[[#This Row],[Precio por bulto ($)]]/Inventario26[[#This Row],[Cantidad de unidades por bulto]])</f>
        <v>1.125</v>
      </c>
      <c r="G17" s="9">
        <f>Inventario26[[#This Row],[Precio]]*Inventario26[[#This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IF(Inventario26[[#This Row],[Cantidad de unidades por bulto]]=0, 0, Inventario26[[#This Row],[Precio por bulto ($)]]/Inventario26[[#This Row],[Cantidad de unidades por bulto]])</f>
        <v>0.63461538461538458</v>
      </c>
      <c r="G18" s="9">
        <f>Inventario26[[#This Row],[Precio]]*Inventario26[[#This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IF(Inventario26[[#This Row],[Cantidad de unidades por bulto]]=0, 0, Inventario26[[#This Row],[Precio por bulto ($)]]/Inventario26[[#This Row],[Cantidad de unidades por bulto]])</f>
        <v>0.10416666666666667</v>
      </c>
      <c r="G19" s="9">
        <f>Inventario26[[#This Row],[Precio]]*Inventario26[[#This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IF(Inventario26[[#This Row],[Cantidad de unidades por bulto]]=0, 0, Inventario26[[#This Row],[Precio por bulto ($)]]/Inventario26[[#This Row],[Cantidad de unidades por bulto]])</f>
        <v>2.6</v>
      </c>
      <c r="G20" s="9">
        <f>Inventario26[[#This Row],[Precio]]*Inventario26[[#This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IF(Inventario26[[#This Row],[Cantidad de unidades por bulto]]=0, 0, Inventario26[[#This Row],[Precio por bulto ($)]]/Inventario26[[#This Row],[Cantidad de unidades por bulto]])</f>
        <v>0.9</v>
      </c>
      <c r="G21" s="9">
        <f>Inventario26[[#This Row],[Precio]]*Inventario26[[#This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IF(Inventario26[[#This Row],[Cantidad de unidades por bulto]]=0, 0, Inventario26[[#This Row],[Precio por bulto ($)]]/Inventario26[[#This Row],[Cantidad de unidades por bulto]])</f>
        <v>45</v>
      </c>
      <c r="G22" s="9">
        <f>Inventario26[[#This Row],[Precio]]*Inventario26[[#This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IF(Inventario26[[#This Row],[Cantidad de unidades por bulto]]=0, 0, Inventario26[[#This Row],[Precio por bulto ($)]]/Inventario26[[#This Row],[Cantidad de unidades por bulto]])</f>
        <v>1.6</v>
      </c>
      <c r="G23" s="9">
        <f>Inventario26[[#This Row],[Precio]]*Inventario26[[#This Row],[Existencia]]</f>
        <v>0</v>
      </c>
    </row>
    <row r="24" spans="1:7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IF(Inventario26[[#This Row],[Cantidad de unidades por bulto]]=0, 0, Inventario26[[#This Row],[Precio por bulto ($)]]/Inventario26[[#This Row],[Cantidad de unidades por bulto]])</f>
        <v>0.22</v>
      </c>
      <c r="G24" s="9">
        <f>Inventario26[[#This Row],[Precio]]*Inventario26[[#This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IF(Inventario26[[#This Row],[Cantidad de unidades por bulto]]=0, 0, Inventario26[[#This Row],[Precio por bulto ($)]]/Inventario26[[#This Row],[Cantidad de unidades por bulto]])</f>
        <v>0.35166666666666663</v>
      </c>
      <c r="G25" s="9">
        <f>Inventario26[[#This Row],[Precio]]*Inventario26[[#This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IF(Inventario26[[#This Row],[Cantidad de unidades por bulto]]=0, 0, Inventario26[[#This Row],[Precio por bulto ($)]]/Inventario26[[#This Row],[Cantidad de unidades por bulto]])</f>
        <v>1.8</v>
      </c>
      <c r="G26" s="9">
        <f>Inventario26[[#This Row],[Precio]]*Inventario26[[#This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IF(Inventario26[[#This Row],[Cantidad de unidades por bulto]]=0, 0, Inventario26[[#This Row],[Precio por bulto ($)]]/Inventario26[[#This Row],[Cantidad de unidades por bulto]])</f>
        <v>3.625</v>
      </c>
      <c r="G27" s="9">
        <f>Inventario26[[#This Row],[Precio]]*Inventario26[[#This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IF(Inventario26[[#This Row],[Cantidad de unidades por bulto]]=0, 0, Inventario26[[#This Row],[Precio por bulto ($)]]/Inventario26[[#This Row],[Cantidad de unidades por bulto]])</f>
        <v>0.52083333333333337</v>
      </c>
      <c r="G28" s="9">
        <f>Inventario26[[#This Row],[Precio]]*Inventario26[[#This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IF(Inventario26[[#This Row],[Cantidad de unidades por bulto]]=0, 0, Inventario26[[#This Row],[Precio por bulto ($)]]/Inventario26[[#This Row],[Cantidad de unidades por bulto]])</f>
        <v>29</v>
      </c>
      <c r="G29" s="9">
        <f>Inventario26[[#This Row],[Precio]]*Inventario26[[#This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IF(Inventario26[[#This Row],[Cantidad de unidades por bulto]]=0, 0, Inventario26[[#This Row],[Precio por bulto ($)]]/Inventario26[[#This Row],[Cantidad de unidades por bulto]])</f>
        <v>0.52083333333333337</v>
      </c>
      <c r="G30" s="9">
        <f>Inventario26[[#This Row],[Precio]]*Inventario26[[#This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IF(Inventario26[[#This Row],[Cantidad de unidades por bulto]]=0, 0, Inventario26[[#This Row],[Precio por bulto ($)]]/Inventario26[[#This Row],[Cantidad de unidades por bulto]])</f>
        <v>0.375</v>
      </c>
      <c r="G31" s="9">
        <f>Inventario26[[#This Row],[Precio]]*Inventario26[[#This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IF(Inventario26[[#This Row],[Cantidad de unidades por bulto]]=0, 0, Inventario26[[#This Row],[Precio por bulto ($)]]/Inventario26[[#This Row],[Cantidad de unidades por bulto]])</f>
        <v>7.05</v>
      </c>
      <c r="G32" s="9">
        <f>Inventario26[[#This Row],[Precio]]*Inventario26[[#This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IF(Inventario26[[#This Row],[Cantidad de unidades por bulto]]=0, 0, Inventario26[[#This Row],[Precio por bulto ($)]]/Inventario26[[#This Row],[Cantidad de unidades por bulto]])</f>
        <v>7.05</v>
      </c>
      <c r="G33" s="9">
        <f>Inventario26[[#This Row],[Precio]]*Inventario26[[#This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IF(Inventario26[[#This Row],[Cantidad de unidades por bulto]]=0, 0, Inventario26[[#This Row],[Precio por bulto ($)]]/Inventario26[[#This Row],[Cantidad de unidades por bulto]])</f>
        <v>7.05</v>
      </c>
      <c r="G34" s="9">
        <f>Inventario26[[#This Row],[Precio]]*Inventario26[[#This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IF(Inventario26[[#This Row],[Cantidad de unidades por bulto]]=0, 0, Inventario26[[#This Row],[Precio por bulto ($)]]/Inventario26[[#This Row],[Cantidad de unidades por bulto]])</f>
        <v>1.95</v>
      </c>
      <c r="G35" s="9">
        <f>Inventario26[[#This Row],[Precio]]*Inventario26[[#This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IF(Inventario26[[#This Row],[Cantidad de unidades por bulto]]=0, 0, Inventario26[[#This Row],[Precio por bulto ($)]]/Inventario26[[#This Row],[Cantidad de unidades por bulto]])</f>
        <v>0.3</v>
      </c>
      <c r="G36" s="9">
        <f>Inventario26[[#This Row],[Precio]]*Inventario26[[#This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IF(Inventario26[[#This Row],[Cantidad de unidades por bulto]]=0, 0, Inventario26[[#This Row],[Precio por bulto ($)]]/Inventario26[[#This Row],[Cantidad de unidades por bulto]])</f>
        <v>13.5</v>
      </c>
      <c r="G37" s="9">
        <f>Inventario26[[#This Row],[Precio]]*Inventario26[[#This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IF(Inventario26[[#This Row],[Cantidad de unidades por bulto]]=0, 0, Inventario26[[#This Row],[Precio por bulto ($)]]/Inventario26[[#This Row],[Cantidad de unidades por bulto]])</f>
        <v>11</v>
      </c>
      <c r="G38" s="9">
        <f>Inventario26[[#This Row],[Precio]]*Inventario26[[#This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IF(Inventario26[[#This Row],[Cantidad de unidades por bulto]]=0, 0, Inventario26[[#This Row],[Precio por bulto ($)]]/Inventario26[[#This Row],[Cantidad de unidades por bulto]])</f>
        <v>0.5625</v>
      </c>
      <c r="G39" s="9">
        <f>Inventario26[[#This Row],[Precio]]*Inventario26[[#This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IF(Inventario26[[#This Row],[Cantidad de unidades por bulto]]=0, 0, Inventario26[[#This Row],[Precio por bulto ($)]]/Inventario26[[#This Row],[Cantidad de unidades por bulto]])</f>
        <v>2</v>
      </c>
      <c r="G40" s="9">
        <f>Inventario26[[#This Row],[Precio]]*Inventario26[[#This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263E-5D9D-4803-9EA1-DDF0C127E6B9}">
  <sheetPr codeName="Hoja25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SUM(Inventario25[Importe])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IF(Inventario25[[#This Row],[Cantidad de unidades por bulto]]=0, 0, Inventario25[[#This Row],[Precio por bulto ($)]]/Inventario25[[#This Row],[Cantidad de unidades por bulto]])</f>
        <v>1.25</v>
      </c>
      <c r="G2" s="9">
        <f>Inventario25[[#This Row],[Precio]]*Inventario25[[#This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IF(Inventario25[[#This Row],[Cantidad de unidades por bulto]]=0, 0, Inventario25[[#This Row],[Precio por bulto ($)]]/Inventario25[[#This Row],[Cantidad de unidades por bulto]])</f>
        <v>1.2250000000000001</v>
      </c>
      <c r="G3" s="9">
        <f>Inventario25[[#This Row],[Precio]]*Inventario25[[#This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IF(Inventario25[[#This Row],[Cantidad de unidades por bulto]]=0, 0, Inventario25[[#This Row],[Precio por bulto ($)]]/Inventario25[[#This Row],[Cantidad de unidades por bulto]])</f>
        <v>0.81</v>
      </c>
      <c r="G4" s="9">
        <f>Inventario25[[#This Row],[Precio]]*Inventario25[[#This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IF(Inventario25[[#This Row],[Cantidad de unidades por bulto]]=0, 0, Inventario25[[#This Row],[Precio por bulto ($)]]/Inventario25[[#This Row],[Cantidad de unidades por bulto]])</f>
        <v>0.8</v>
      </c>
      <c r="G5" s="9">
        <f>Inventario25[[#This Row],[Precio]]*Inventario25[[#This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IF(Inventario25[[#This Row],[Cantidad de unidades por bulto]]=0, 0, Inventario25[[#This Row],[Precio por bulto ($)]]/Inventario25[[#This Row],[Cantidad de unidades por bulto]])</f>
        <v>0.81</v>
      </c>
      <c r="G6" s="9">
        <f>Inventario25[[#This Row],[Precio]]*Inventario25[[#This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IF(Inventario25[[#This Row],[Cantidad de unidades por bulto]]=0, 0, Inventario25[[#This Row],[Precio por bulto ($)]]/Inventario25[[#This Row],[Cantidad de unidades por bulto]])</f>
        <v>0.8773333333333333</v>
      </c>
      <c r="G7" s="9">
        <f>Inventario25[[#This Row],[Precio]]*Inventario25[[#This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IF(Inventario25[[#This Row],[Cantidad de unidades por bulto]]=0, 0, Inventario25[[#This Row],[Precio por bulto ($)]]/Inventario25[[#This Row],[Cantidad de unidades por bulto]])</f>
        <v>0.75</v>
      </c>
      <c r="G8" s="9">
        <f>Inventario25[[#This Row],[Precio]]*Inventario25[[#This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IF(Inventario25[[#This Row],[Cantidad de unidades por bulto]]=0, 0, Inventario25[[#This Row],[Precio por bulto ($)]]/Inventario25[[#This Row],[Cantidad de unidades por bulto]])</f>
        <v>0.75</v>
      </c>
      <c r="G9" s="9">
        <f>Inventario25[[#This Row],[Precio]]*Inventario25[[#This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IF(Inventario25[[#This Row],[Cantidad de unidades por bulto]]=0, 0, Inventario25[[#This Row],[Precio por bulto ($)]]/Inventario25[[#This Row],[Cantidad de unidades por bulto]])</f>
        <v>1.25</v>
      </c>
      <c r="G10" s="9">
        <f>Inventario25[[#This Row],[Precio]]*Inventario25[[#This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IF(Inventario25[[#This Row],[Cantidad de unidades por bulto]]=0, 0, Inventario25[[#This Row],[Precio por bulto ($)]]/Inventario25[[#This Row],[Cantidad de unidades por bulto]])</f>
        <v>11</v>
      </c>
      <c r="G11" s="9">
        <f>Inventario25[[#This Row],[Precio]]*Inventario25[[#This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IF(Inventario25[[#This Row],[Cantidad de unidades por bulto]]=0, 0, Inventario25[[#This Row],[Precio por bulto ($)]]/Inventario25[[#This Row],[Cantidad de unidades por bulto]])</f>
        <v>11</v>
      </c>
      <c r="G12" s="9">
        <f>Inventario25[[#This Row],[Precio]]*Inventario25[[#This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IF(Inventario25[[#This Row],[Cantidad de unidades por bulto]]=0, 0, Inventario25[[#This Row],[Precio por bulto ($)]]/Inventario25[[#This Row],[Cantidad de unidades por bulto]])</f>
        <v>1.25</v>
      </c>
      <c r="G13" s="9">
        <f>Inventario25[[#This Row],[Precio]]*Inventario25[[#This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IF(Inventario25[[#This Row],[Cantidad de unidades por bulto]]=0, 0, Inventario25[[#This Row],[Precio por bulto ($)]]/Inventario25[[#This Row],[Cantidad de unidades por bulto]])</f>
        <v>1.125</v>
      </c>
      <c r="G14" s="9">
        <f>Inventario25[[#This Row],[Precio]]*Inventario25[[#This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IF(Inventario25[[#This Row],[Cantidad de unidades por bulto]]=0, 0, Inventario25[[#This Row],[Precio por bulto ($)]]/Inventario25[[#This Row],[Cantidad de unidades por bulto]])</f>
        <v>0.69916666666666671</v>
      </c>
      <c r="G15" s="9">
        <f>Inventario25[[#This Row],[Precio]]*Inventario25[[#This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IF(Inventario25[[#This Row],[Cantidad de unidades por bulto]]=0, 0, Inventario25[[#This Row],[Precio por bulto ($)]]/Inventario25[[#This Row],[Cantidad de unidades por bulto]])</f>
        <v>1.125</v>
      </c>
      <c r="G16" s="9">
        <f>Inventario25[[#This Row],[Precio]]*Inventario25[[#This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IF(Inventario25[[#This Row],[Cantidad de unidades por bulto]]=0, 0, Inventario25[[#This Row],[Precio por bulto ($)]]/Inventario25[[#This Row],[Cantidad de unidades por bulto]])</f>
        <v>1.125</v>
      </c>
      <c r="G17" s="9">
        <f>Inventario25[[#This Row],[Precio]]*Inventario25[[#This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IF(Inventario25[[#This Row],[Cantidad de unidades por bulto]]=0, 0, Inventario25[[#This Row],[Precio por bulto ($)]]/Inventario25[[#This Row],[Cantidad de unidades por bulto]])</f>
        <v>0.63461538461538458</v>
      </c>
      <c r="G18" s="9">
        <f>Inventario25[[#This Row],[Precio]]*Inventario25[[#This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IF(Inventario25[[#This Row],[Cantidad de unidades por bulto]]=0, 0, Inventario25[[#This Row],[Precio por bulto ($)]]/Inventario25[[#This Row],[Cantidad de unidades por bulto]])</f>
        <v>0.10416666666666667</v>
      </c>
      <c r="G19" s="9">
        <f>Inventario25[[#This Row],[Precio]]*Inventario25[[#This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IF(Inventario25[[#This Row],[Cantidad de unidades por bulto]]=0, 0, Inventario25[[#This Row],[Precio por bulto ($)]]/Inventario25[[#This Row],[Cantidad de unidades por bulto]])</f>
        <v>2.6</v>
      </c>
      <c r="G20" s="9">
        <f>Inventario25[[#This Row],[Precio]]*Inventario25[[#This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IF(Inventario25[[#This Row],[Cantidad de unidades por bulto]]=0, 0, Inventario25[[#This Row],[Precio por bulto ($)]]/Inventario25[[#This Row],[Cantidad de unidades por bulto]])</f>
        <v>0.9</v>
      </c>
      <c r="G21" s="9">
        <f>Inventario25[[#This Row],[Precio]]*Inventario25[[#This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IF(Inventario25[[#This Row],[Cantidad de unidades por bulto]]=0, 0, Inventario25[[#This Row],[Precio por bulto ($)]]/Inventario25[[#This Row],[Cantidad de unidades por bulto]])</f>
        <v>45</v>
      </c>
      <c r="G22" s="9">
        <f>Inventario25[[#This Row],[Precio]]*Inventario25[[#This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IF(Inventario25[[#This Row],[Cantidad de unidades por bulto]]=0, 0, Inventario25[[#This Row],[Precio por bulto ($)]]/Inventario25[[#This Row],[Cantidad de unidades por bulto]])</f>
        <v>1.6</v>
      </c>
      <c r="G23" s="9">
        <f>Inventario25[[#This Row],[Precio]]*Inventario25[[#This Row],[Existencia]]</f>
        <v>0</v>
      </c>
    </row>
    <row r="24" spans="1:7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IF(Inventario25[[#This Row],[Cantidad de unidades por bulto]]=0, 0, Inventario25[[#This Row],[Precio por bulto ($)]]/Inventario25[[#This Row],[Cantidad de unidades por bulto]])</f>
        <v>0.22</v>
      </c>
      <c r="G24" s="9">
        <f>Inventario25[[#This Row],[Precio]]*Inventario25[[#This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IF(Inventario25[[#This Row],[Cantidad de unidades por bulto]]=0, 0, Inventario25[[#This Row],[Precio por bulto ($)]]/Inventario25[[#This Row],[Cantidad de unidades por bulto]])</f>
        <v>0.35166666666666663</v>
      </c>
      <c r="G25" s="9">
        <f>Inventario25[[#This Row],[Precio]]*Inventario25[[#This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IF(Inventario25[[#This Row],[Cantidad de unidades por bulto]]=0, 0, Inventario25[[#This Row],[Precio por bulto ($)]]/Inventario25[[#This Row],[Cantidad de unidades por bulto]])</f>
        <v>1.8</v>
      </c>
      <c r="G26" s="9">
        <f>Inventario25[[#This Row],[Precio]]*Inventario25[[#This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IF(Inventario25[[#This Row],[Cantidad de unidades por bulto]]=0, 0, Inventario25[[#This Row],[Precio por bulto ($)]]/Inventario25[[#This Row],[Cantidad de unidades por bulto]])</f>
        <v>3.625</v>
      </c>
      <c r="G27" s="9">
        <f>Inventario25[[#This Row],[Precio]]*Inventario25[[#This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IF(Inventario25[[#This Row],[Cantidad de unidades por bulto]]=0, 0, Inventario25[[#This Row],[Precio por bulto ($)]]/Inventario25[[#This Row],[Cantidad de unidades por bulto]])</f>
        <v>0.52083333333333337</v>
      </c>
      <c r="G28" s="9">
        <f>Inventario25[[#This Row],[Precio]]*Inventario25[[#This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IF(Inventario25[[#This Row],[Cantidad de unidades por bulto]]=0, 0, Inventario25[[#This Row],[Precio por bulto ($)]]/Inventario25[[#This Row],[Cantidad de unidades por bulto]])</f>
        <v>29</v>
      </c>
      <c r="G29" s="9">
        <f>Inventario25[[#This Row],[Precio]]*Inventario25[[#This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IF(Inventario25[[#This Row],[Cantidad de unidades por bulto]]=0, 0, Inventario25[[#This Row],[Precio por bulto ($)]]/Inventario25[[#This Row],[Cantidad de unidades por bulto]])</f>
        <v>0.52083333333333337</v>
      </c>
      <c r="G30" s="9">
        <f>Inventario25[[#This Row],[Precio]]*Inventario25[[#This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IF(Inventario25[[#This Row],[Cantidad de unidades por bulto]]=0, 0, Inventario25[[#This Row],[Precio por bulto ($)]]/Inventario25[[#This Row],[Cantidad de unidades por bulto]])</f>
        <v>0.375</v>
      </c>
      <c r="G31" s="9">
        <f>Inventario25[[#This Row],[Precio]]*Inventario25[[#This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IF(Inventario25[[#This Row],[Cantidad de unidades por bulto]]=0, 0, Inventario25[[#This Row],[Precio por bulto ($)]]/Inventario25[[#This Row],[Cantidad de unidades por bulto]])</f>
        <v>7.05</v>
      </c>
      <c r="G32" s="9">
        <f>Inventario25[[#This Row],[Precio]]*Inventario25[[#This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IF(Inventario25[[#This Row],[Cantidad de unidades por bulto]]=0, 0, Inventario25[[#This Row],[Precio por bulto ($)]]/Inventario25[[#This Row],[Cantidad de unidades por bulto]])</f>
        <v>7.05</v>
      </c>
      <c r="G33" s="9">
        <f>Inventario25[[#This Row],[Precio]]*Inventario25[[#This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IF(Inventario25[[#This Row],[Cantidad de unidades por bulto]]=0, 0, Inventario25[[#This Row],[Precio por bulto ($)]]/Inventario25[[#This Row],[Cantidad de unidades por bulto]])</f>
        <v>7.05</v>
      </c>
      <c r="G34" s="9">
        <f>Inventario25[[#This Row],[Precio]]*Inventario25[[#This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IF(Inventario25[[#This Row],[Cantidad de unidades por bulto]]=0, 0, Inventario25[[#This Row],[Precio por bulto ($)]]/Inventario25[[#This Row],[Cantidad de unidades por bulto]])</f>
        <v>1.95</v>
      </c>
      <c r="G35" s="9">
        <f>Inventario25[[#This Row],[Precio]]*Inventario25[[#This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IF(Inventario25[[#This Row],[Cantidad de unidades por bulto]]=0, 0, Inventario25[[#This Row],[Precio por bulto ($)]]/Inventario25[[#This Row],[Cantidad de unidades por bulto]])</f>
        <v>0.3</v>
      </c>
      <c r="G36" s="9">
        <f>Inventario25[[#This Row],[Precio]]*Inventario25[[#This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IF(Inventario25[[#This Row],[Cantidad de unidades por bulto]]=0, 0, Inventario25[[#This Row],[Precio por bulto ($)]]/Inventario25[[#This Row],[Cantidad de unidades por bulto]])</f>
        <v>13.5</v>
      </c>
      <c r="G37" s="9">
        <f>Inventario25[[#This Row],[Precio]]*Inventario25[[#This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IF(Inventario25[[#This Row],[Cantidad de unidades por bulto]]=0, 0, Inventario25[[#This Row],[Precio por bulto ($)]]/Inventario25[[#This Row],[Cantidad de unidades por bulto]])</f>
        <v>11</v>
      </c>
      <c r="G38" s="9">
        <f>Inventario25[[#This Row],[Precio]]*Inventario25[[#This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IF(Inventario25[[#This Row],[Cantidad de unidades por bulto]]=0, 0, Inventario25[[#This Row],[Precio por bulto ($)]]/Inventario25[[#This Row],[Cantidad de unidades por bulto]])</f>
        <v>0.5625</v>
      </c>
      <c r="G39" s="9">
        <f>Inventario25[[#This Row],[Precio]]*Inventario25[[#This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IF(Inventario25[[#This Row],[Cantidad de unidades por bulto]]=0, 0, Inventario25[[#This Row],[Precio por bulto ($)]]/Inventario25[[#This Row],[Cantidad de unidades por bulto]])</f>
        <v>2</v>
      </c>
      <c r="G40" s="9">
        <f>Inventario25[[#This Row],[Precio]]*Inventario25[[#This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4B51-CF0F-47AD-A710-E904AA660021}">
  <sheetPr codeName="Hoja24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SUM(Inventario24[Importe])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IF(Inventario24[[#This Row],[Cantidad de unidades por bulto]]=0, 0, Inventario24[[#This Row],[Precio por bulto ($)]]/Inventario24[[#This Row],[Cantidad de unidades por bulto]])</f>
        <v>1.25</v>
      </c>
      <c r="G2" s="9">
        <f>Inventario24[[#This Row],[Precio]]*Inventario24[[#This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IF(Inventario24[[#This Row],[Cantidad de unidades por bulto]]=0, 0, Inventario24[[#This Row],[Precio por bulto ($)]]/Inventario24[[#This Row],[Cantidad de unidades por bulto]])</f>
        <v>1.2250000000000001</v>
      </c>
      <c r="G3" s="9">
        <f>Inventario24[[#This Row],[Precio]]*Inventario24[[#This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IF(Inventario24[[#This Row],[Cantidad de unidades por bulto]]=0, 0, Inventario24[[#This Row],[Precio por bulto ($)]]/Inventario24[[#This Row],[Cantidad de unidades por bulto]])</f>
        <v>0.81</v>
      </c>
      <c r="G4" s="9">
        <f>Inventario24[[#This Row],[Precio]]*Inventario24[[#This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IF(Inventario24[[#This Row],[Cantidad de unidades por bulto]]=0, 0, Inventario24[[#This Row],[Precio por bulto ($)]]/Inventario24[[#This Row],[Cantidad de unidades por bulto]])</f>
        <v>0.8</v>
      </c>
      <c r="G5" s="9">
        <f>Inventario24[[#This Row],[Precio]]*Inventario24[[#This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IF(Inventario24[[#This Row],[Cantidad de unidades por bulto]]=0, 0, Inventario24[[#This Row],[Precio por bulto ($)]]/Inventario24[[#This Row],[Cantidad de unidades por bulto]])</f>
        <v>0.81</v>
      </c>
      <c r="G6" s="9">
        <f>Inventario24[[#This Row],[Precio]]*Inventario24[[#This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IF(Inventario24[[#This Row],[Cantidad de unidades por bulto]]=0, 0, Inventario24[[#This Row],[Precio por bulto ($)]]/Inventario24[[#This Row],[Cantidad de unidades por bulto]])</f>
        <v>0.8773333333333333</v>
      </c>
      <c r="G7" s="9">
        <f>Inventario24[[#This Row],[Precio]]*Inventario24[[#This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IF(Inventario24[[#This Row],[Cantidad de unidades por bulto]]=0, 0, Inventario24[[#This Row],[Precio por bulto ($)]]/Inventario24[[#This Row],[Cantidad de unidades por bulto]])</f>
        <v>0.75</v>
      </c>
      <c r="G8" s="9">
        <f>Inventario24[[#This Row],[Precio]]*Inventario24[[#This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IF(Inventario24[[#This Row],[Cantidad de unidades por bulto]]=0, 0, Inventario24[[#This Row],[Precio por bulto ($)]]/Inventario24[[#This Row],[Cantidad de unidades por bulto]])</f>
        <v>0.75</v>
      </c>
      <c r="G9" s="9">
        <f>Inventario24[[#This Row],[Precio]]*Inventario24[[#This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IF(Inventario24[[#This Row],[Cantidad de unidades por bulto]]=0, 0, Inventario24[[#This Row],[Precio por bulto ($)]]/Inventario24[[#This Row],[Cantidad de unidades por bulto]])</f>
        <v>1.25</v>
      </c>
      <c r="G10" s="9">
        <f>Inventario24[[#This Row],[Precio]]*Inventario24[[#This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IF(Inventario24[[#This Row],[Cantidad de unidades por bulto]]=0, 0, Inventario24[[#This Row],[Precio por bulto ($)]]/Inventario24[[#This Row],[Cantidad de unidades por bulto]])</f>
        <v>11</v>
      </c>
      <c r="G11" s="9">
        <f>Inventario24[[#This Row],[Precio]]*Inventario24[[#This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IF(Inventario24[[#This Row],[Cantidad de unidades por bulto]]=0, 0, Inventario24[[#This Row],[Precio por bulto ($)]]/Inventario24[[#This Row],[Cantidad de unidades por bulto]])</f>
        <v>11</v>
      </c>
      <c r="G12" s="9">
        <f>Inventario24[[#This Row],[Precio]]*Inventario24[[#This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IF(Inventario24[[#This Row],[Cantidad de unidades por bulto]]=0, 0, Inventario24[[#This Row],[Precio por bulto ($)]]/Inventario24[[#This Row],[Cantidad de unidades por bulto]])</f>
        <v>1.25</v>
      </c>
      <c r="G13" s="9">
        <f>Inventario24[[#This Row],[Precio]]*Inventario24[[#This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IF(Inventario24[[#This Row],[Cantidad de unidades por bulto]]=0, 0, Inventario24[[#This Row],[Precio por bulto ($)]]/Inventario24[[#This Row],[Cantidad de unidades por bulto]])</f>
        <v>1.125</v>
      </c>
      <c r="G14" s="9">
        <f>Inventario24[[#This Row],[Precio]]*Inventario24[[#This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IF(Inventario24[[#This Row],[Cantidad de unidades por bulto]]=0, 0, Inventario24[[#This Row],[Precio por bulto ($)]]/Inventario24[[#This Row],[Cantidad de unidades por bulto]])</f>
        <v>0.69916666666666671</v>
      </c>
      <c r="G15" s="9">
        <f>Inventario24[[#This Row],[Precio]]*Inventario24[[#This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IF(Inventario24[[#This Row],[Cantidad de unidades por bulto]]=0, 0, Inventario24[[#This Row],[Precio por bulto ($)]]/Inventario24[[#This Row],[Cantidad de unidades por bulto]])</f>
        <v>1.125</v>
      </c>
      <c r="G16" s="9">
        <f>Inventario24[[#This Row],[Precio]]*Inventario24[[#This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IF(Inventario24[[#This Row],[Cantidad de unidades por bulto]]=0, 0, Inventario24[[#This Row],[Precio por bulto ($)]]/Inventario24[[#This Row],[Cantidad de unidades por bulto]])</f>
        <v>1.125</v>
      </c>
      <c r="G17" s="9">
        <f>Inventario24[[#This Row],[Precio]]*Inventario24[[#This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IF(Inventario24[[#This Row],[Cantidad de unidades por bulto]]=0, 0, Inventario24[[#This Row],[Precio por bulto ($)]]/Inventario24[[#This Row],[Cantidad de unidades por bulto]])</f>
        <v>0.63461538461538458</v>
      </c>
      <c r="G18" s="9">
        <f>Inventario24[[#This Row],[Precio]]*Inventario24[[#This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IF(Inventario24[[#This Row],[Cantidad de unidades por bulto]]=0, 0, Inventario24[[#This Row],[Precio por bulto ($)]]/Inventario24[[#This Row],[Cantidad de unidades por bulto]])</f>
        <v>0.10416666666666667</v>
      </c>
      <c r="G19" s="9">
        <f>Inventario24[[#This Row],[Precio]]*Inventario24[[#This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IF(Inventario24[[#This Row],[Cantidad de unidades por bulto]]=0, 0, Inventario24[[#This Row],[Precio por bulto ($)]]/Inventario24[[#This Row],[Cantidad de unidades por bulto]])</f>
        <v>2.6</v>
      </c>
      <c r="G20" s="9">
        <f>Inventario24[[#This Row],[Precio]]*Inventario24[[#This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IF(Inventario24[[#This Row],[Cantidad de unidades por bulto]]=0, 0, Inventario24[[#This Row],[Precio por bulto ($)]]/Inventario24[[#This Row],[Cantidad de unidades por bulto]])</f>
        <v>0.9</v>
      </c>
      <c r="G21" s="9">
        <f>Inventario24[[#This Row],[Precio]]*Inventario24[[#This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IF(Inventario24[[#This Row],[Cantidad de unidades por bulto]]=0, 0, Inventario24[[#This Row],[Precio por bulto ($)]]/Inventario24[[#This Row],[Cantidad de unidades por bulto]])</f>
        <v>45</v>
      </c>
      <c r="G22" s="9">
        <f>Inventario24[[#This Row],[Precio]]*Inventario24[[#This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IF(Inventario24[[#This Row],[Cantidad de unidades por bulto]]=0, 0, Inventario24[[#This Row],[Precio por bulto ($)]]/Inventario24[[#This Row],[Cantidad de unidades por bulto]])</f>
        <v>1.6</v>
      </c>
      <c r="G23" s="9">
        <f>Inventario24[[#This Row],[Precio]]*Inventario24[[#This Row],[Existencia]]</f>
        <v>0</v>
      </c>
    </row>
    <row r="24" spans="1:7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IF(Inventario24[[#This Row],[Cantidad de unidades por bulto]]=0, 0, Inventario24[[#This Row],[Precio por bulto ($)]]/Inventario24[[#This Row],[Cantidad de unidades por bulto]])</f>
        <v>0.22</v>
      </c>
      <c r="G24" s="9">
        <f>Inventario24[[#This Row],[Precio]]*Inventario24[[#This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IF(Inventario24[[#This Row],[Cantidad de unidades por bulto]]=0, 0, Inventario24[[#This Row],[Precio por bulto ($)]]/Inventario24[[#This Row],[Cantidad de unidades por bulto]])</f>
        <v>0.35166666666666663</v>
      </c>
      <c r="G25" s="9">
        <f>Inventario24[[#This Row],[Precio]]*Inventario24[[#This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IF(Inventario24[[#This Row],[Cantidad de unidades por bulto]]=0, 0, Inventario24[[#This Row],[Precio por bulto ($)]]/Inventario24[[#This Row],[Cantidad de unidades por bulto]])</f>
        <v>1.8</v>
      </c>
      <c r="G26" s="9">
        <f>Inventario24[[#This Row],[Precio]]*Inventario24[[#This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IF(Inventario24[[#This Row],[Cantidad de unidades por bulto]]=0, 0, Inventario24[[#This Row],[Precio por bulto ($)]]/Inventario24[[#This Row],[Cantidad de unidades por bulto]])</f>
        <v>3.625</v>
      </c>
      <c r="G27" s="9">
        <f>Inventario24[[#This Row],[Precio]]*Inventario24[[#This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IF(Inventario24[[#This Row],[Cantidad de unidades por bulto]]=0, 0, Inventario24[[#This Row],[Precio por bulto ($)]]/Inventario24[[#This Row],[Cantidad de unidades por bulto]])</f>
        <v>0.52083333333333337</v>
      </c>
      <c r="G28" s="9">
        <f>Inventario24[[#This Row],[Precio]]*Inventario24[[#This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IF(Inventario24[[#This Row],[Cantidad de unidades por bulto]]=0, 0, Inventario24[[#This Row],[Precio por bulto ($)]]/Inventario24[[#This Row],[Cantidad de unidades por bulto]])</f>
        <v>29</v>
      </c>
      <c r="G29" s="9">
        <f>Inventario24[[#This Row],[Precio]]*Inventario24[[#This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IF(Inventario24[[#This Row],[Cantidad de unidades por bulto]]=0, 0, Inventario24[[#This Row],[Precio por bulto ($)]]/Inventario24[[#This Row],[Cantidad de unidades por bulto]])</f>
        <v>0.52083333333333337</v>
      </c>
      <c r="G30" s="9">
        <f>Inventario24[[#This Row],[Precio]]*Inventario24[[#This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IF(Inventario24[[#This Row],[Cantidad de unidades por bulto]]=0, 0, Inventario24[[#This Row],[Precio por bulto ($)]]/Inventario24[[#This Row],[Cantidad de unidades por bulto]])</f>
        <v>0.375</v>
      </c>
      <c r="G31" s="9">
        <f>Inventario24[[#This Row],[Precio]]*Inventario24[[#This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IF(Inventario24[[#This Row],[Cantidad de unidades por bulto]]=0, 0, Inventario24[[#This Row],[Precio por bulto ($)]]/Inventario24[[#This Row],[Cantidad de unidades por bulto]])</f>
        <v>7.05</v>
      </c>
      <c r="G32" s="9">
        <f>Inventario24[[#This Row],[Precio]]*Inventario24[[#This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IF(Inventario24[[#This Row],[Cantidad de unidades por bulto]]=0, 0, Inventario24[[#This Row],[Precio por bulto ($)]]/Inventario24[[#This Row],[Cantidad de unidades por bulto]])</f>
        <v>7.05</v>
      </c>
      <c r="G33" s="9">
        <f>Inventario24[[#This Row],[Precio]]*Inventario24[[#This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IF(Inventario24[[#This Row],[Cantidad de unidades por bulto]]=0, 0, Inventario24[[#This Row],[Precio por bulto ($)]]/Inventario24[[#This Row],[Cantidad de unidades por bulto]])</f>
        <v>7.05</v>
      </c>
      <c r="G34" s="9">
        <f>Inventario24[[#This Row],[Precio]]*Inventario24[[#This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IF(Inventario24[[#This Row],[Cantidad de unidades por bulto]]=0, 0, Inventario24[[#This Row],[Precio por bulto ($)]]/Inventario24[[#This Row],[Cantidad de unidades por bulto]])</f>
        <v>1.95</v>
      </c>
      <c r="G35" s="9">
        <f>Inventario24[[#This Row],[Precio]]*Inventario24[[#This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IF(Inventario24[[#This Row],[Cantidad de unidades por bulto]]=0, 0, Inventario24[[#This Row],[Precio por bulto ($)]]/Inventario24[[#This Row],[Cantidad de unidades por bulto]])</f>
        <v>0.3</v>
      </c>
      <c r="G36" s="9">
        <f>Inventario24[[#This Row],[Precio]]*Inventario24[[#This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IF(Inventario24[[#This Row],[Cantidad de unidades por bulto]]=0, 0, Inventario24[[#This Row],[Precio por bulto ($)]]/Inventario24[[#This Row],[Cantidad de unidades por bulto]])</f>
        <v>13.5</v>
      </c>
      <c r="G37" s="9">
        <f>Inventario24[[#This Row],[Precio]]*Inventario24[[#This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IF(Inventario24[[#This Row],[Cantidad de unidades por bulto]]=0, 0, Inventario24[[#This Row],[Precio por bulto ($)]]/Inventario24[[#This Row],[Cantidad de unidades por bulto]])</f>
        <v>11</v>
      </c>
      <c r="G38" s="9">
        <f>Inventario24[[#This Row],[Precio]]*Inventario24[[#This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IF(Inventario24[[#This Row],[Cantidad de unidades por bulto]]=0, 0, Inventario24[[#This Row],[Precio por bulto ($)]]/Inventario24[[#This Row],[Cantidad de unidades por bulto]])</f>
        <v>0.5625</v>
      </c>
      <c r="G39" s="9">
        <f>Inventario24[[#This Row],[Precio]]*Inventario24[[#This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IF(Inventario24[[#This Row],[Cantidad de unidades por bulto]]=0, 0, Inventario24[[#This Row],[Precio por bulto ($)]]/Inventario24[[#This Row],[Cantidad de unidades por bulto]])</f>
        <v>2</v>
      </c>
      <c r="G40" s="9">
        <f>Inventario24[[#This Row],[Precio]]*Inventario24[[#This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0121D-1A7D-4BC5-8EDB-5E0D1C3B118F}">
  <sheetPr codeName="Hoja23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SUM(Inventario23[Importe])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IF(Inventario23[[#This Row],[Cantidad de unidades por bulto]]=0, 0, Inventario23[[#This Row],[Precio por bulto ($)]]/Inventario23[[#This Row],[Cantidad de unidades por bulto]])</f>
        <v>1.25</v>
      </c>
      <c r="G2" s="9">
        <f>Inventario23[[#This Row],[Precio]]*Inventario23[[#This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IF(Inventario23[[#This Row],[Cantidad de unidades por bulto]]=0, 0, Inventario23[[#This Row],[Precio por bulto ($)]]/Inventario23[[#This Row],[Cantidad de unidades por bulto]])</f>
        <v>1.2250000000000001</v>
      </c>
      <c r="G3" s="9">
        <f>Inventario23[[#This Row],[Precio]]*Inventario23[[#This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IF(Inventario23[[#This Row],[Cantidad de unidades por bulto]]=0, 0, Inventario23[[#This Row],[Precio por bulto ($)]]/Inventario23[[#This Row],[Cantidad de unidades por bulto]])</f>
        <v>0.81</v>
      </c>
      <c r="G4" s="9">
        <f>Inventario23[[#This Row],[Precio]]*Inventario23[[#This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IF(Inventario23[[#This Row],[Cantidad de unidades por bulto]]=0, 0, Inventario23[[#This Row],[Precio por bulto ($)]]/Inventario23[[#This Row],[Cantidad de unidades por bulto]])</f>
        <v>0.8</v>
      </c>
      <c r="G5" s="9">
        <f>Inventario23[[#This Row],[Precio]]*Inventario23[[#This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IF(Inventario23[[#This Row],[Cantidad de unidades por bulto]]=0, 0, Inventario23[[#This Row],[Precio por bulto ($)]]/Inventario23[[#This Row],[Cantidad de unidades por bulto]])</f>
        <v>0.81</v>
      </c>
      <c r="G6" s="9">
        <f>Inventario23[[#This Row],[Precio]]*Inventario23[[#This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IF(Inventario23[[#This Row],[Cantidad de unidades por bulto]]=0, 0, Inventario23[[#This Row],[Precio por bulto ($)]]/Inventario23[[#This Row],[Cantidad de unidades por bulto]])</f>
        <v>0.8773333333333333</v>
      </c>
      <c r="G7" s="9">
        <f>Inventario23[[#This Row],[Precio]]*Inventario23[[#This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IF(Inventario23[[#This Row],[Cantidad de unidades por bulto]]=0, 0, Inventario23[[#This Row],[Precio por bulto ($)]]/Inventario23[[#This Row],[Cantidad de unidades por bulto]])</f>
        <v>0.75</v>
      </c>
      <c r="G8" s="9">
        <f>Inventario23[[#This Row],[Precio]]*Inventario23[[#This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IF(Inventario23[[#This Row],[Cantidad de unidades por bulto]]=0, 0, Inventario23[[#This Row],[Precio por bulto ($)]]/Inventario23[[#This Row],[Cantidad de unidades por bulto]])</f>
        <v>0.75</v>
      </c>
      <c r="G9" s="9">
        <f>Inventario23[[#This Row],[Precio]]*Inventario23[[#This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IF(Inventario23[[#This Row],[Cantidad de unidades por bulto]]=0, 0, Inventario23[[#This Row],[Precio por bulto ($)]]/Inventario23[[#This Row],[Cantidad de unidades por bulto]])</f>
        <v>1.25</v>
      </c>
      <c r="G10" s="9">
        <f>Inventario23[[#This Row],[Precio]]*Inventario23[[#This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IF(Inventario23[[#This Row],[Cantidad de unidades por bulto]]=0, 0, Inventario23[[#This Row],[Precio por bulto ($)]]/Inventario23[[#This Row],[Cantidad de unidades por bulto]])</f>
        <v>11</v>
      </c>
      <c r="G11" s="9">
        <f>Inventario23[[#This Row],[Precio]]*Inventario23[[#This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IF(Inventario23[[#This Row],[Cantidad de unidades por bulto]]=0, 0, Inventario23[[#This Row],[Precio por bulto ($)]]/Inventario23[[#This Row],[Cantidad de unidades por bulto]])</f>
        <v>11</v>
      </c>
      <c r="G12" s="9">
        <f>Inventario23[[#This Row],[Precio]]*Inventario23[[#This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IF(Inventario23[[#This Row],[Cantidad de unidades por bulto]]=0, 0, Inventario23[[#This Row],[Precio por bulto ($)]]/Inventario23[[#This Row],[Cantidad de unidades por bulto]])</f>
        <v>1.25</v>
      </c>
      <c r="G13" s="9">
        <f>Inventario23[[#This Row],[Precio]]*Inventario23[[#This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IF(Inventario23[[#This Row],[Cantidad de unidades por bulto]]=0, 0, Inventario23[[#This Row],[Precio por bulto ($)]]/Inventario23[[#This Row],[Cantidad de unidades por bulto]])</f>
        <v>1.125</v>
      </c>
      <c r="G14" s="9">
        <f>Inventario23[[#This Row],[Precio]]*Inventario23[[#This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IF(Inventario23[[#This Row],[Cantidad de unidades por bulto]]=0, 0, Inventario23[[#This Row],[Precio por bulto ($)]]/Inventario23[[#This Row],[Cantidad de unidades por bulto]])</f>
        <v>0.69916666666666671</v>
      </c>
      <c r="G15" s="9">
        <f>Inventario23[[#This Row],[Precio]]*Inventario23[[#This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IF(Inventario23[[#This Row],[Cantidad de unidades por bulto]]=0, 0, Inventario23[[#This Row],[Precio por bulto ($)]]/Inventario23[[#This Row],[Cantidad de unidades por bulto]])</f>
        <v>1.125</v>
      </c>
      <c r="G16" s="9">
        <f>Inventario23[[#This Row],[Precio]]*Inventario23[[#This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IF(Inventario23[[#This Row],[Cantidad de unidades por bulto]]=0, 0, Inventario23[[#This Row],[Precio por bulto ($)]]/Inventario23[[#This Row],[Cantidad de unidades por bulto]])</f>
        <v>1.125</v>
      </c>
      <c r="G17" s="9">
        <f>Inventario23[[#This Row],[Precio]]*Inventario23[[#This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IF(Inventario23[[#This Row],[Cantidad de unidades por bulto]]=0, 0, Inventario23[[#This Row],[Precio por bulto ($)]]/Inventario23[[#This Row],[Cantidad de unidades por bulto]])</f>
        <v>0.63461538461538458</v>
      </c>
      <c r="G18" s="9">
        <f>Inventario23[[#This Row],[Precio]]*Inventario23[[#This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IF(Inventario23[[#This Row],[Cantidad de unidades por bulto]]=0, 0, Inventario23[[#This Row],[Precio por bulto ($)]]/Inventario23[[#This Row],[Cantidad de unidades por bulto]])</f>
        <v>0.10416666666666667</v>
      </c>
      <c r="G19" s="9">
        <f>Inventario23[[#This Row],[Precio]]*Inventario23[[#This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IF(Inventario23[[#This Row],[Cantidad de unidades por bulto]]=0, 0, Inventario23[[#This Row],[Precio por bulto ($)]]/Inventario23[[#This Row],[Cantidad de unidades por bulto]])</f>
        <v>2.6</v>
      </c>
      <c r="G20" s="9">
        <f>Inventario23[[#This Row],[Precio]]*Inventario23[[#This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IF(Inventario23[[#This Row],[Cantidad de unidades por bulto]]=0, 0, Inventario23[[#This Row],[Precio por bulto ($)]]/Inventario23[[#This Row],[Cantidad de unidades por bulto]])</f>
        <v>0.9</v>
      </c>
      <c r="G21" s="9">
        <f>Inventario23[[#This Row],[Precio]]*Inventario23[[#This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IF(Inventario23[[#This Row],[Cantidad de unidades por bulto]]=0, 0, Inventario23[[#This Row],[Precio por bulto ($)]]/Inventario23[[#This Row],[Cantidad de unidades por bulto]])</f>
        <v>45</v>
      </c>
      <c r="G22" s="9">
        <f>Inventario23[[#This Row],[Precio]]*Inventario23[[#This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IF(Inventario23[[#This Row],[Cantidad de unidades por bulto]]=0, 0, Inventario23[[#This Row],[Precio por bulto ($)]]/Inventario23[[#This Row],[Cantidad de unidades por bulto]])</f>
        <v>1.6</v>
      </c>
      <c r="G23" s="9">
        <f>Inventario23[[#This Row],[Precio]]*Inventario23[[#This Row],[Existencia]]</f>
        <v>0</v>
      </c>
    </row>
    <row r="24" spans="1:7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IF(Inventario23[[#This Row],[Cantidad de unidades por bulto]]=0, 0, Inventario23[[#This Row],[Precio por bulto ($)]]/Inventario23[[#This Row],[Cantidad de unidades por bulto]])</f>
        <v>0.22</v>
      </c>
      <c r="G24" s="9">
        <f>Inventario23[[#This Row],[Precio]]*Inventario23[[#This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IF(Inventario23[[#This Row],[Cantidad de unidades por bulto]]=0, 0, Inventario23[[#This Row],[Precio por bulto ($)]]/Inventario23[[#This Row],[Cantidad de unidades por bulto]])</f>
        <v>0.35166666666666663</v>
      </c>
      <c r="G25" s="9">
        <f>Inventario23[[#This Row],[Precio]]*Inventario23[[#This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IF(Inventario23[[#This Row],[Cantidad de unidades por bulto]]=0, 0, Inventario23[[#This Row],[Precio por bulto ($)]]/Inventario23[[#This Row],[Cantidad de unidades por bulto]])</f>
        <v>1.8</v>
      </c>
      <c r="G26" s="9">
        <f>Inventario23[[#This Row],[Precio]]*Inventario23[[#This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IF(Inventario23[[#This Row],[Cantidad de unidades por bulto]]=0, 0, Inventario23[[#This Row],[Precio por bulto ($)]]/Inventario23[[#This Row],[Cantidad de unidades por bulto]])</f>
        <v>3.625</v>
      </c>
      <c r="G27" s="9">
        <f>Inventario23[[#This Row],[Precio]]*Inventario23[[#This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IF(Inventario23[[#This Row],[Cantidad de unidades por bulto]]=0, 0, Inventario23[[#This Row],[Precio por bulto ($)]]/Inventario23[[#This Row],[Cantidad de unidades por bulto]])</f>
        <v>0.52083333333333337</v>
      </c>
      <c r="G28" s="9">
        <f>Inventario23[[#This Row],[Precio]]*Inventario23[[#This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IF(Inventario23[[#This Row],[Cantidad de unidades por bulto]]=0, 0, Inventario23[[#This Row],[Precio por bulto ($)]]/Inventario23[[#This Row],[Cantidad de unidades por bulto]])</f>
        <v>29</v>
      </c>
      <c r="G29" s="9">
        <f>Inventario23[[#This Row],[Precio]]*Inventario23[[#This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IF(Inventario23[[#This Row],[Cantidad de unidades por bulto]]=0, 0, Inventario23[[#This Row],[Precio por bulto ($)]]/Inventario23[[#This Row],[Cantidad de unidades por bulto]])</f>
        <v>0.52083333333333337</v>
      </c>
      <c r="G30" s="9">
        <f>Inventario23[[#This Row],[Precio]]*Inventario23[[#This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IF(Inventario23[[#This Row],[Cantidad de unidades por bulto]]=0, 0, Inventario23[[#This Row],[Precio por bulto ($)]]/Inventario23[[#This Row],[Cantidad de unidades por bulto]])</f>
        <v>0.375</v>
      </c>
      <c r="G31" s="9">
        <f>Inventario23[[#This Row],[Precio]]*Inventario23[[#This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IF(Inventario23[[#This Row],[Cantidad de unidades por bulto]]=0, 0, Inventario23[[#This Row],[Precio por bulto ($)]]/Inventario23[[#This Row],[Cantidad de unidades por bulto]])</f>
        <v>7.05</v>
      </c>
      <c r="G32" s="9">
        <f>Inventario23[[#This Row],[Precio]]*Inventario23[[#This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IF(Inventario23[[#This Row],[Cantidad de unidades por bulto]]=0, 0, Inventario23[[#This Row],[Precio por bulto ($)]]/Inventario23[[#This Row],[Cantidad de unidades por bulto]])</f>
        <v>7.05</v>
      </c>
      <c r="G33" s="9">
        <f>Inventario23[[#This Row],[Precio]]*Inventario23[[#This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IF(Inventario23[[#This Row],[Cantidad de unidades por bulto]]=0, 0, Inventario23[[#This Row],[Precio por bulto ($)]]/Inventario23[[#This Row],[Cantidad de unidades por bulto]])</f>
        <v>7.05</v>
      </c>
      <c r="G34" s="9">
        <f>Inventario23[[#This Row],[Precio]]*Inventario23[[#This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IF(Inventario23[[#This Row],[Cantidad de unidades por bulto]]=0, 0, Inventario23[[#This Row],[Precio por bulto ($)]]/Inventario23[[#This Row],[Cantidad de unidades por bulto]])</f>
        <v>1.95</v>
      </c>
      <c r="G35" s="9">
        <f>Inventario23[[#This Row],[Precio]]*Inventario23[[#This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IF(Inventario23[[#This Row],[Cantidad de unidades por bulto]]=0, 0, Inventario23[[#This Row],[Precio por bulto ($)]]/Inventario23[[#This Row],[Cantidad de unidades por bulto]])</f>
        <v>0.3</v>
      </c>
      <c r="G36" s="9">
        <f>Inventario23[[#This Row],[Precio]]*Inventario23[[#This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IF(Inventario23[[#This Row],[Cantidad de unidades por bulto]]=0, 0, Inventario23[[#This Row],[Precio por bulto ($)]]/Inventario23[[#This Row],[Cantidad de unidades por bulto]])</f>
        <v>13.5</v>
      </c>
      <c r="G37" s="9">
        <f>Inventario23[[#This Row],[Precio]]*Inventario23[[#This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IF(Inventario23[[#This Row],[Cantidad de unidades por bulto]]=0, 0, Inventario23[[#This Row],[Precio por bulto ($)]]/Inventario23[[#This Row],[Cantidad de unidades por bulto]])</f>
        <v>11</v>
      </c>
      <c r="G38" s="9">
        <f>Inventario23[[#This Row],[Precio]]*Inventario23[[#This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IF(Inventario23[[#This Row],[Cantidad de unidades por bulto]]=0, 0, Inventario23[[#This Row],[Precio por bulto ($)]]/Inventario23[[#This Row],[Cantidad de unidades por bulto]])</f>
        <v>0.5625</v>
      </c>
      <c r="G39" s="9">
        <f>Inventario23[[#This Row],[Precio]]*Inventario23[[#This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IF(Inventario23[[#This Row],[Cantidad de unidades por bulto]]=0, 0, Inventario23[[#This Row],[Precio por bulto ($)]]/Inventario23[[#This Row],[Cantidad de unidades por bulto]])</f>
        <v>2</v>
      </c>
      <c r="G40" s="9">
        <f>Inventario23[[#This Row],[Precio]]*Inventario23[[#This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4E7F5-81BD-48CB-8BE9-779AFC922F51}">
  <sheetPr codeName="Hoja22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SUM(Inventario22[Importe])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IF(Inventario22[[#This Row],[Cantidad de unidades por bulto]]=0, 0, Inventario22[[#This Row],[Precio por bulto ($)]]/Inventario22[[#This Row],[Cantidad de unidades por bulto]])</f>
        <v>1.25</v>
      </c>
      <c r="G2" s="9">
        <f>Inventario22[[#This Row],[Precio]]*Inventario22[[#This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IF(Inventario22[[#This Row],[Cantidad de unidades por bulto]]=0, 0, Inventario22[[#This Row],[Precio por bulto ($)]]/Inventario22[[#This Row],[Cantidad de unidades por bulto]])</f>
        <v>1.2250000000000001</v>
      </c>
      <c r="G3" s="9">
        <f>Inventario22[[#This Row],[Precio]]*Inventario22[[#This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IF(Inventario22[[#This Row],[Cantidad de unidades por bulto]]=0, 0, Inventario22[[#This Row],[Precio por bulto ($)]]/Inventario22[[#This Row],[Cantidad de unidades por bulto]])</f>
        <v>0.81</v>
      </c>
      <c r="G4" s="9">
        <f>Inventario22[[#This Row],[Precio]]*Inventario22[[#This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IF(Inventario22[[#This Row],[Cantidad de unidades por bulto]]=0, 0, Inventario22[[#This Row],[Precio por bulto ($)]]/Inventario22[[#This Row],[Cantidad de unidades por bulto]])</f>
        <v>0.8</v>
      </c>
      <c r="G5" s="9">
        <f>Inventario22[[#This Row],[Precio]]*Inventario22[[#This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IF(Inventario22[[#This Row],[Cantidad de unidades por bulto]]=0, 0, Inventario22[[#This Row],[Precio por bulto ($)]]/Inventario22[[#This Row],[Cantidad de unidades por bulto]])</f>
        <v>0.81</v>
      </c>
      <c r="G6" s="9">
        <f>Inventario22[[#This Row],[Precio]]*Inventario22[[#This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IF(Inventario22[[#This Row],[Cantidad de unidades por bulto]]=0, 0, Inventario22[[#This Row],[Precio por bulto ($)]]/Inventario22[[#This Row],[Cantidad de unidades por bulto]])</f>
        <v>0.8773333333333333</v>
      </c>
      <c r="G7" s="9">
        <f>Inventario22[[#This Row],[Precio]]*Inventario22[[#This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IF(Inventario22[[#This Row],[Cantidad de unidades por bulto]]=0, 0, Inventario22[[#This Row],[Precio por bulto ($)]]/Inventario22[[#This Row],[Cantidad de unidades por bulto]])</f>
        <v>0.75</v>
      </c>
      <c r="G8" s="9">
        <f>Inventario22[[#This Row],[Precio]]*Inventario22[[#This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IF(Inventario22[[#This Row],[Cantidad de unidades por bulto]]=0, 0, Inventario22[[#This Row],[Precio por bulto ($)]]/Inventario22[[#This Row],[Cantidad de unidades por bulto]])</f>
        <v>0.75</v>
      </c>
      <c r="G9" s="9">
        <f>Inventario22[[#This Row],[Precio]]*Inventario22[[#This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IF(Inventario22[[#This Row],[Cantidad de unidades por bulto]]=0, 0, Inventario22[[#This Row],[Precio por bulto ($)]]/Inventario22[[#This Row],[Cantidad de unidades por bulto]])</f>
        <v>1.25</v>
      </c>
      <c r="G10" s="9">
        <f>Inventario22[[#This Row],[Precio]]*Inventario22[[#This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IF(Inventario22[[#This Row],[Cantidad de unidades por bulto]]=0, 0, Inventario22[[#This Row],[Precio por bulto ($)]]/Inventario22[[#This Row],[Cantidad de unidades por bulto]])</f>
        <v>11</v>
      </c>
      <c r="G11" s="9">
        <f>Inventario22[[#This Row],[Precio]]*Inventario22[[#This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IF(Inventario22[[#This Row],[Cantidad de unidades por bulto]]=0, 0, Inventario22[[#This Row],[Precio por bulto ($)]]/Inventario22[[#This Row],[Cantidad de unidades por bulto]])</f>
        <v>11</v>
      </c>
      <c r="G12" s="9">
        <f>Inventario22[[#This Row],[Precio]]*Inventario22[[#This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IF(Inventario22[[#This Row],[Cantidad de unidades por bulto]]=0, 0, Inventario22[[#This Row],[Precio por bulto ($)]]/Inventario22[[#This Row],[Cantidad de unidades por bulto]])</f>
        <v>1.25</v>
      </c>
      <c r="G13" s="9">
        <f>Inventario22[[#This Row],[Precio]]*Inventario22[[#This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IF(Inventario22[[#This Row],[Cantidad de unidades por bulto]]=0, 0, Inventario22[[#This Row],[Precio por bulto ($)]]/Inventario22[[#This Row],[Cantidad de unidades por bulto]])</f>
        <v>1.125</v>
      </c>
      <c r="G14" s="9">
        <f>Inventario22[[#This Row],[Precio]]*Inventario22[[#This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IF(Inventario22[[#This Row],[Cantidad de unidades por bulto]]=0, 0, Inventario22[[#This Row],[Precio por bulto ($)]]/Inventario22[[#This Row],[Cantidad de unidades por bulto]])</f>
        <v>0.69916666666666671</v>
      </c>
      <c r="G15" s="9">
        <f>Inventario22[[#This Row],[Precio]]*Inventario22[[#This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IF(Inventario22[[#This Row],[Cantidad de unidades por bulto]]=0, 0, Inventario22[[#This Row],[Precio por bulto ($)]]/Inventario22[[#This Row],[Cantidad de unidades por bulto]])</f>
        <v>1.125</v>
      </c>
      <c r="G16" s="9">
        <f>Inventario22[[#This Row],[Precio]]*Inventario22[[#This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IF(Inventario22[[#This Row],[Cantidad de unidades por bulto]]=0, 0, Inventario22[[#This Row],[Precio por bulto ($)]]/Inventario22[[#This Row],[Cantidad de unidades por bulto]])</f>
        <v>1.125</v>
      </c>
      <c r="G17" s="9">
        <f>Inventario22[[#This Row],[Precio]]*Inventario22[[#This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IF(Inventario22[[#This Row],[Cantidad de unidades por bulto]]=0, 0, Inventario22[[#This Row],[Precio por bulto ($)]]/Inventario22[[#This Row],[Cantidad de unidades por bulto]])</f>
        <v>0.63461538461538458</v>
      </c>
      <c r="G18" s="9">
        <f>Inventario22[[#This Row],[Precio]]*Inventario22[[#This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IF(Inventario22[[#This Row],[Cantidad de unidades por bulto]]=0, 0, Inventario22[[#This Row],[Precio por bulto ($)]]/Inventario22[[#This Row],[Cantidad de unidades por bulto]])</f>
        <v>0.10416666666666667</v>
      </c>
      <c r="G19" s="9">
        <f>Inventario22[[#This Row],[Precio]]*Inventario22[[#This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IF(Inventario22[[#This Row],[Cantidad de unidades por bulto]]=0, 0, Inventario22[[#This Row],[Precio por bulto ($)]]/Inventario22[[#This Row],[Cantidad de unidades por bulto]])</f>
        <v>2.6</v>
      </c>
      <c r="G20" s="9">
        <f>Inventario22[[#This Row],[Precio]]*Inventario22[[#This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IF(Inventario22[[#This Row],[Cantidad de unidades por bulto]]=0, 0, Inventario22[[#This Row],[Precio por bulto ($)]]/Inventario22[[#This Row],[Cantidad de unidades por bulto]])</f>
        <v>0.9</v>
      </c>
      <c r="G21" s="9">
        <f>Inventario22[[#This Row],[Precio]]*Inventario22[[#This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IF(Inventario22[[#This Row],[Cantidad de unidades por bulto]]=0, 0, Inventario22[[#This Row],[Precio por bulto ($)]]/Inventario22[[#This Row],[Cantidad de unidades por bulto]])</f>
        <v>45</v>
      </c>
      <c r="G22" s="9">
        <f>Inventario22[[#This Row],[Precio]]*Inventario22[[#This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IF(Inventario22[[#This Row],[Cantidad de unidades por bulto]]=0, 0, Inventario22[[#This Row],[Precio por bulto ($)]]/Inventario22[[#This Row],[Cantidad de unidades por bulto]])</f>
        <v>1.6</v>
      </c>
      <c r="G23" s="9">
        <f>Inventario22[[#This Row],[Precio]]*Inventario22[[#This Row],[Existencia]]</f>
        <v>0</v>
      </c>
    </row>
    <row r="24" spans="1:7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IF(Inventario22[[#This Row],[Cantidad de unidades por bulto]]=0, 0, Inventario22[[#This Row],[Precio por bulto ($)]]/Inventario22[[#This Row],[Cantidad de unidades por bulto]])</f>
        <v>0.22</v>
      </c>
      <c r="G24" s="9">
        <f>Inventario22[[#This Row],[Precio]]*Inventario22[[#This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IF(Inventario22[[#This Row],[Cantidad de unidades por bulto]]=0, 0, Inventario22[[#This Row],[Precio por bulto ($)]]/Inventario22[[#This Row],[Cantidad de unidades por bulto]])</f>
        <v>0.35166666666666663</v>
      </c>
      <c r="G25" s="9">
        <f>Inventario22[[#This Row],[Precio]]*Inventario22[[#This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IF(Inventario22[[#This Row],[Cantidad de unidades por bulto]]=0, 0, Inventario22[[#This Row],[Precio por bulto ($)]]/Inventario22[[#This Row],[Cantidad de unidades por bulto]])</f>
        <v>1.8</v>
      </c>
      <c r="G26" s="9">
        <f>Inventario22[[#This Row],[Precio]]*Inventario22[[#This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IF(Inventario22[[#This Row],[Cantidad de unidades por bulto]]=0, 0, Inventario22[[#This Row],[Precio por bulto ($)]]/Inventario22[[#This Row],[Cantidad de unidades por bulto]])</f>
        <v>3.625</v>
      </c>
      <c r="G27" s="9">
        <f>Inventario22[[#This Row],[Precio]]*Inventario22[[#This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IF(Inventario22[[#This Row],[Cantidad de unidades por bulto]]=0, 0, Inventario22[[#This Row],[Precio por bulto ($)]]/Inventario22[[#This Row],[Cantidad de unidades por bulto]])</f>
        <v>0.52083333333333337</v>
      </c>
      <c r="G28" s="9">
        <f>Inventario22[[#This Row],[Precio]]*Inventario22[[#This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IF(Inventario22[[#This Row],[Cantidad de unidades por bulto]]=0, 0, Inventario22[[#This Row],[Precio por bulto ($)]]/Inventario22[[#This Row],[Cantidad de unidades por bulto]])</f>
        <v>29</v>
      </c>
      <c r="G29" s="9">
        <f>Inventario22[[#This Row],[Precio]]*Inventario22[[#This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IF(Inventario22[[#This Row],[Cantidad de unidades por bulto]]=0, 0, Inventario22[[#This Row],[Precio por bulto ($)]]/Inventario22[[#This Row],[Cantidad de unidades por bulto]])</f>
        <v>0.52083333333333337</v>
      </c>
      <c r="G30" s="9">
        <f>Inventario22[[#This Row],[Precio]]*Inventario22[[#This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IF(Inventario22[[#This Row],[Cantidad de unidades por bulto]]=0, 0, Inventario22[[#This Row],[Precio por bulto ($)]]/Inventario22[[#This Row],[Cantidad de unidades por bulto]])</f>
        <v>0.375</v>
      </c>
      <c r="G31" s="9">
        <f>Inventario22[[#This Row],[Precio]]*Inventario22[[#This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IF(Inventario22[[#This Row],[Cantidad de unidades por bulto]]=0, 0, Inventario22[[#This Row],[Precio por bulto ($)]]/Inventario22[[#This Row],[Cantidad de unidades por bulto]])</f>
        <v>7.05</v>
      </c>
      <c r="G32" s="9">
        <f>Inventario22[[#This Row],[Precio]]*Inventario22[[#This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IF(Inventario22[[#This Row],[Cantidad de unidades por bulto]]=0, 0, Inventario22[[#This Row],[Precio por bulto ($)]]/Inventario22[[#This Row],[Cantidad de unidades por bulto]])</f>
        <v>7.05</v>
      </c>
      <c r="G33" s="9">
        <f>Inventario22[[#This Row],[Precio]]*Inventario22[[#This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IF(Inventario22[[#This Row],[Cantidad de unidades por bulto]]=0, 0, Inventario22[[#This Row],[Precio por bulto ($)]]/Inventario22[[#This Row],[Cantidad de unidades por bulto]])</f>
        <v>7.05</v>
      </c>
      <c r="G34" s="9">
        <f>Inventario22[[#This Row],[Precio]]*Inventario22[[#This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IF(Inventario22[[#This Row],[Cantidad de unidades por bulto]]=0, 0, Inventario22[[#This Row],[Precio por bulto ($)]]/Inventario22[[#This Row],[Cantidad de unidades por bulto]])</f>
        <v>1.95</v>
      </c>
      <c r="G35" s="9">
        <f>Inventario22[[#This Row],[Precio]]*Inventario22[[#This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IF(Inventario22[[#This Row],[Cantidad de unidades por bulto]]=0, 0, Inventario22[[#This Row],[Precio por bulto ($)]]/Inventario22[[#This Row],[Cantidad de unidades por bulto]])</f>
        <v>0.3</v>
      </c>
      <c r="G36" s="9">
        <f>Inventario22[[#This Row],[Precio]]*Inventario22[[#This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IF(Inventario22[[#This Row],[Cantidad de unidades por bulto]]=0, 0, Inventario22[[#This Row],[Precio por bulto ($)]]/Inventario22[[#This Row],[Cantidad de unidades por bulto]])</f>
        <v>13.5</v>
      </c>
      <c r="G37" s="9">
        <f>Inventario22[[#This Row],[Precio]]*Inventario22[[#This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IF(Inventario22[[#This Row],[Cantidad de unidades por bulto]]=0, 0, Inventario22[[#This Row],[Precio por bulto ($)]]/Inventario22[[#This Row],[Cantidad de unidades por bulto]])</f>
        <v>11</v>
      </c>
      <c r="G38" s="9">
        <f>Inventario22[[#This Row],[Precio]]*Inventario22[[#This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IF(Inventario22[[#This Row],[Cantidad de unidades por bulto]]=0, 0, Inventario22[[#This Row],[Precio por bulto ($)]]/Inventario22[[#This Row],[Cantidad de unidades por bulto]])</f>
        <v>0.5625</v>
      </c>
      <c r="G39" s="9">
        <f>Inventario22[[#This Row],[Precio]]*Inventario22[[#This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IF(Inventario22[[#This Row],[Cantidad de unidades por bulto]]=0, 0, Inventario22[[#This Row],[Precio por bulto ($)]]/Inventario22[[#This Row],[Cantidad de unidades por bulto]])</f>
        <v>2</v>
      </c>
      <c r="G40" s="9">
        <f>Inventario22[[#This Row],[Precio]]*Inventario22[[#This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A6165-D876-48E5-B59E-9A7E2044E3A0}">
  <sheetPr codeName="Hoja21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SUM(Inventario21[Importe])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IF(Inventario21[[#This Row],[Cantidad de unidades por bulto]]=0, 0, Inventario21[[#This Row],[Precio por bulto ($)]]/Inventario21[[#This Row],[Cantidad de unidades por bulto]])</f>
        <v>1.25</v>
      </c>
      <c r="G2" s="9">
        <f>Inventario21[[#This Row],[Precio]]*Inventario21[[#This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IF(Inventario21[[#This Row],[Cantidad de unidades por bulto]]=0, 0, Inventario21[[#This Row],[Precio por bulto ($)]]/Inventario21[[#This Row],[Cantidad de unidades por bulto]])</f>
        <v>1.2250000000000001</v>
      </c>
      <c r="G3" s="9">
        <f>Inventario21[[#This Row],[Precio]]*Inventario21[[#This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IF(Inventario21[[#This Row],[Cantidad de unidades por bulto]]=0, 0, Inventario21[[#This Row],[Precio por bulto ($)]]/Inventario21[[#This Row],[Cantidad de unidades por bulto]])</f>
        <v>0.81</v>
      </c>
      <c r="G4" s="9">
        <f>Inventario21[[#This Row],[Precio]]*Inventario21[[#This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IF(Inventario21[[#This Row],[Cantidad de unidades por bulto]]=0, 0, Inventario21[[#This Row],[Precio por bulto ($)]]/Inventario21[[#This Row],[Cantidad de unidades por bulto]])</f>
        <v>0.8</v>
      </c>
      <c r="G5" s="9">
        <f>Inventario21[[#This Row],[Precio]]*Inventario21[[#This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IF(Inventario21[[#This Row],[Cantidad de unidades por bulto]]=0, 0, Inventario21[[#This Row],[Precio por bulto ($)]]/Inventario21[[#This Row],[Cantidad de unidades por bulto]])</f>
        <v>0.81</v>
      </c>
      <c r="G6" s="9">
        <f>Inventario21[[#This Row],[Precio]]*Inventario21[[#This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IF(Inventario21[[#This Row],[Cantidad de unidades por bulto]]=0, 0, Inventario21[[#This Row],[Precio por bulto ($)]]/Inventario21[[#This Row],[Cantidad de unidades por bulto]])</f>
        <v>0.8773333333333333</v>
      </c>
      <c r="G7" s="9">
        <f>Inventario21[[#This Row],[Precio]]*Inventario21[[#This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IF(Inventario21[[#This Row],[Cantidad de unidades por bulto]]=0, 0, Inventario21[[#This Row],[Precio por bulto ($)]]/Inventario21[[#This Row],[Cantidad de unidades por bulto]])</f>
        <v>0.75</v>
      </c>
      <c r="G8" s="9">
        <f>Inventario21[[#This Row],[Precio]]*Inventario21[[#This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IF(Inventario21[[#This Row],[Cantidad de unidades por bulto]]=0, 0, Inventario21[[#This Row],[Precio por bulto ($)]]/Inventario21[[#This Row],[Cantidad de unidades por bulto]])</f>
        <v>0.75</v>
      </c>
      <c r="G9" s="9">
        <f>Inventario21[[#This Row],[Precio]]*Inventario21[[#This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IF(Inventario21[[#This Row],[Cantidad de unidades por bulto]]=0, 0, Inventario21[[#This Row],[Precio por bulto ($)]]/Inventario21[[#This Row],[Cantidad de unidades por bulto]])</f>
        <v>1.25</v>
      </c>
      <c r="G10" s="9">
        <f>Inventario21[[#This Row],[Precio]]*Inventario21[[#This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IF(Inventario21[[#This Row],[Cantidad de unidades por bulto]]=0, 0, Inventario21[[#This Row],[Precio por bulto ($)]]/Inventario21[[#This Row],[Cantidad de unidades por bulto]])</f>
        <v>11</v>
      </c>
      <c r="G11" s="9">
        <f>Inventario21[[#This Row],[Precio]]*Inventario21[[#This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IF(Inventario21[[#This Row],[Cantidad de unidades por bulto]]=0, 0, Inventario21[[#This Row],[Precio por bulto ($)]]/Inventario21[[#This Row],[Cantidad de unidades por bulto]])</f>
        <v>11</v>
      </c>
      <c r="G12" s="9">
        <f>Inventario21[[#This Row],[Precio]]*Inventario21[[#This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IF(Inventario21[[#This Row],[Cantidad de unidades por bulto]]=0, 0, Inventario21[[#This Row],[Precio por bulto ($)]]/Inventario21[[#This Row],[Cantidad de unidades por bulto]])</f>
        <v>1.25</v>
      </c>
      <c r="G13" s="9">
        <f>Inventario21[[#This Row],[Precio]]*Inventario21[[#This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IF(Inventario21[[#This Row],[Cantidad de unidades por bulto]]=0, 0, Inventario21[[#This Row],[Precio por bulto ($)]]/Inventario21[[#This Row],[Cantidad de unidades por bulto]])</f>
        <v>1.125</v>
      </c>
      <c r="G14" s="9">
        <f>Inventario21[[#This Row],[Precio]]*Inventario21[[#This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IF(Inventario21[[#This Row],[Cantidad de unidades por bulto]]=0, 0, Inventario21[[#This Row],[Precio por bulto ($)]]/Inventario21[[#This Row],[Cantidad de unidades por bulto]])</f>
        <v>0.69916666666666671</v>
      </c>
      <c r="G15" s="9">
        <f>Inventario21[[#This Row],[Precio]]*Inventario21[[#This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IF(Inventario21[[#This Row],[Cantidad de unidades por bulto]]=0, 0, Inventario21[[#This Row],[Precio por bulto ($)]]/Inventario21[[#This Row],[Cantidad de unidades por bulto]])</f>
        <v>1.125</v>
      </c>
      <c r="G16" s="9">
        <f>Inventario21[[#This Row],[Precio]]*Inventario21[[#This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IF(Inventario21[[#This Row],[Cantidad de unidades por bulto]]=0, 0, Inventario21[[#This Row],[Precio por bulto ($)]]/Inventario21[[#This Row],[Cantidad de unidades por bulto]])</f>
        <v>1.125</v>
      </c>
      <c r="G17" s="9">
        <f>Inventario21[[#This Row],[Precio]]*Inventario21[[#This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IF(Inventario21[[#This Row],[Cantidad de unidades por bulto]]=0, 0, Inventario21[[#This Row],[Precio por bulto ($)]]/Inventario21[[#This Row],[Cantidad de unidades por bulto]])</f>
        <v>0.63461538461538458</v>
      </c>
      <c r="G18" s="9">
        <f>Inventario21[[#This Row],[Precio]]*Inventario21[[#This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IF(Inventario21[[#This Row],[Cantidad de unidades por bulto]]=0, 0, Inventario21[[#This Row],[Precio por bulto ($)]]/Inventario21[[#This Row],[Cantidad de unidades por bulto]])</f>
        <v>0.10416666666666667</v>
      </c>
      <c r="G19" s="9">
        <f>Inventario21[[#This Row],[Precio]]*Inventario21[[#This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IF(Inventario21[[#This Row],[Cantidad de unidades por bulto]]=0, 0, Inventario21[[#This Row],[Precio por bulto ($)]]/Inventario21[[#This Row],[Cantidad de unidades por bulto]])</f>
        <v>2.6</v>
      </c>
      <c r="G20" s="9">
        <f>Inventario21[[#This Row],[Precio]]*Inventario21[[#This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IF(Inventario21[[#This Row],[Cantidad de unidades por bulto]]=0, 0, Inventario21[[#This Row],[Precio por bulto ($)]]/Inventario21[[#This Row],[Cantidad de unidades por bulto]])</f>
        <v>0.9</v>
      </c>
      <c r="G21" s="9">
        <f>Inventario21[[#This Row],[Precio]]*Inventario21[[#This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IF(Inventario21[[#This Row],[Cantidad de unidades por bulto]]=0, 0, Inventario21[[#This Row],[Precio por bulto ($)]]/Inventario21[[#This Row],[Cantidad de unidades por bulto]])</f>
        <v>45</v>
      </c>
      <c r="G22" s="9">
        <f>Inventario21[[#This Row],[Precio]]*Inventario21[[#This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IF(Inventario21[[#This Row],[Cantidad de unidades por bulto]]=0, 0, Inventario21[[#This Row],[Precio por bulto ($)]]/Inventario21[[#This Row],[Cantidad de unidades por bulto]])</f>
        <v>1.6</v>
      </c>
      <c r="G23" s="9">
        <f>Inventario21[[#This Row],[Precio]]*Inventario21[[#This Row],[Existencia]]</f>
        <v>0</v>
      </c>
    </row>
    <row r="24" spans="1:7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IF(Inventario21[[#This Row],[Cantidad de unidades por bulto]]=0, 0, Inventario21[[#This Row],[Precio por bulto ($)]]/Inventario21[[#This Row],[Cantidad de unidades por bulto]])</f>
        <v>0.22</v>
      </c>
      <c r="G24" s="9">
        <f>Inventario21[[#This Row],[Precio]]*Inventario21[[#This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IF(Inventario21[[#This Row],[Cantidad de unidades por bulto]]=0, 0, Inventario21[[#This Row],[Precio por bulto ($)]]/Inventario21[[#This Row],[Cantidad de unidades por bulto]])</f>
        <v>0.35166666666666663</v>
      </c>
      <c r="G25" s="9">
        <f>Inventario21[[#This Row],[Precio]]*Inventario21[[#This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IF(Inventario21[[#This Row],[Cantidad de unidades por bulto]]=0, 0, Inventario21[[#This Row],[Precio por bulto ($)]]/Inventario21[[#This Row],[Cantidad de unidades por bulto]])</f>
        <v>1.8</v>
      </c>
      <c r="G26" s="9">
        <f>Inventario21[[#This Row],[Precio]]*Inventario21[[#This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IF(Inventario21[[#This Row],[Cantidad de unidades por bulto]]=0, 0, Inventario21[[#This Row],[Precio por bulto ($)]]/Inventario21[[#This Row],[Cantidad de unidades por bulto]])</f>
        <v>3.625</v>
      </c>
      <c r="G27" s="9">
        <f>Inventario21[[#This Row],[Precio]]*Inventario21[[#This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IF(Inventario21[[#This Row],[Cantidad de unidades por bulto]]=0, 0, Inventario21[[#This Row],[Precio por bulto ($)]]/Inventario21[[#This Row],[Cantidad de unidades por bulto]])</f>
        <v>0.52083333333333337</v>
      </c>
      <c r="G28" s="9">
        <f>Inventario21[[#This Row],[Precio]]*Inventario21[[#This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IF(Inventario21[[#This Row],[Cantidad de unidades por bulto]]=0, 0, Inventario21[[#This Row],[Precio por bulto ($)]]/Inventario21[[#This Row],[Cantidad de unidades por bulto]])</f>
        <v>29</v>
      </c>
      <c r="G29" s="9">
        <f>Inventario21[[#This Row],[Precio]]*Inventario21[[#This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IF(Inventario21[[#This Row],[Cantidad de unidades por bulto]]=0, 0, Inventario21[[#This Row],[Precio por bulto ($)]]/Inventario21[[#This Row],[Cantidad de unidades por bulto]])</f>
        <v>0.52083333333333337</v>
      </c>
      <c r="G30" s="9">
        <f>Inventario21[[#This Row],[Precio]]*Inventario21[[#This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IF(Inventario21[[#This Row],[Cantidad de unidades por bulto]]=0, 0, Inventario21[[#This Row],[Precio por bulto ($)]]/Inventario21[[#This Row],[Cantidad de unidades por bulto]])</f>
        <v>0.375</v>
      </c>
      <c r="G31" s="9">
        <f>Inventario21[[#This Row],[Precio]]*Inventario21[[#This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IF(Inventario21[[#This Row],[Cantidad de unidades por bulto]]=0, 0, Inventario21[[#This Row],[Precio por bulto ($)]]/Inventario21[[#This Row],[Cantidad de unidades por bulto]])</f>
        <v>7.05</v>
      </c>
      <c r="G32" s="9">
        <f>Inventario21[[#This Row],[Precio]]*Inventario21[[#This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IF(Inventario21[[#This Row],[Cantidad de unidades por bulto]]=0, 0, Inventario21[[#This Row],[Precio por bulto ($)]]/Inventario21[[#This Row],[Cantidad de unidades por bulto]])</f>
        <v>7.05</v>
      </c>
      <c r="G33" s="9">
        <f>Inventario21[[#This Row],[Precio]]*Inventario21[[#This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IF(Inventario21[[#This Row],[Cantidad de unidades por bulto]]=0, 0, Inventario21[[#This Row],[Precio por bulto ($)]]/Inventario21[[#This Row],[Cantidad de unidades por bulto]])</f>
        <v>7.05</v>
      </c>
      <c r="G34" s="9">
        <f>Inventario21[[#This Row],[Precio]]*Inventario21[[#This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IF(Inventario21[[#This Row],[Cantidad de unidades por bulto]]=0, 0, Inventario21[[#This Row],[Precio por bulto ($)]]/Inventario21[[#This Row],[Cantidad de unidades por bulto]])</f>
        <v>1.95</v>
      </c>
      <c r="G35" s="9">
        <f>Inventario21[[#This Row],[Precio]]*Inventario21[[#This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IF(Inventario21[[#This Row],[Cantidad de unidades por bulto]]=0, 0, Inventario21[[#This Row],[Precio por bulto ($)]]/Inventario21[[#This Row],[Cantidad de unidades por bulto]])</f>
        <v>0.3</v>
      </c>
      <c r="G36" s="9">
        <f>Inventario21[[#This Row],[Precio]]*Inventario21[[#This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IF(Inventario21[[#This Row],[Cantidad de unidades por bulto]]=0, 0, Inventario21[[#This Row],[Precio por bulto ($)]]/Inventario21[[#This Row],[Cantidad de unidades por bulto]])</f>
        <v>13.5</v>
      </c>
      <c r="G37" s="9">
        <f>Inventario21[[#This Row],[Precio]]*Inventario21[[#This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IF(Inventario21[[#This Row],[Cantidad de unidades por bulto]]=0, 0, Inventario21[[#This Row],[Precio por bulto ($)]]/Inventario21[[#This Row],[Cantidad de unidades por bulto]])</f>
        <v>11</v>
      </c>
      <c r="G38" s="9">
        <f>Inventario21[[#This Row],[Precio]]*Inventario21[[#This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IF(Inventario21[[#This Row],[Cantidad de unidades por bulto]]=0, 0, Inventario21[[#This Row],[Precio por bulto ($)]]/Inventario21[[#This Row],[Cantidad de unidades por bulto]])</f>
        <v>0.5625</v>
      </c>
      <c r="G39" s="9">
        <f>Inventario21[[#This Row],[Precio]]*Inventario21[[#This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IF(Inventario21[[#This Row],[Cantidad de unidades por bulto]]=0, 0, Inventario21[[#This Row],[Precio por bulto ($)]]/Inventario21[[#This Row],[Cantidad de unidades por bulto]])</f>
        <v>2</v>
      </c>
      <c r="G40" s="9">
        <f>Inventario21[[#This Row],[Precio]]*Inventario21[[#This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C80F-B8AF-4F44-A9D0-BC2955BC631B}">
  <sheetPr codeName="Hoja20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SUM(Inventario20[Importe])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IF(Inventario20[[#This Row],[Cantidad de unidades por bulto]]=0, 0, Inventario20[[#This Row],[Precio por bulto ($)]]/Inventario20[[#This Row],[Cantidad de unidades por bulto]])</f>
        <v>1.25</v>
      </c>
      <c r="G2" s="9">
        <f>Inventario20[[#This Row],[Precio]]*Inventario20[[#This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IF(Inventario20[[#This Row],[Cantidad de unidades por bulto]]=0, 0, Inventario20[[#This Row],[Precio por bulto ($)]]/Inventario20[[#This Row],[Cantidad de unidades por bulto]])</f>
        <v>1.2250000000000001</v>
      </c>
      <c r="G3" s="9">
        <f>Inventario20[[#This Row],[Precio]]*Inventario20[[#This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IF(Inventario20[[#This Row],[Cantidad de unidades por bulto]]=0, 0, Inventario20[[#This Row],[Precio por bulto ($)]]/Inventario20[[#This Row],[Cantidad de unidades por bulto]])</f>
        <v>0.81</v>
      </c>
      <c r="G4" s="9">
        <f>Inventario20[[#This Row],[Precio]]*Inventario20[[#This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IF(Inventario20[[#This Row],[Cantidad de unidades por bulto]]=0, 0, Inventario20[[#This Row],[Precio por bulto ($)]]/Inventario20[[#This Row],[Cantidad de unidades por bulto]])</f>
        <v>0.8</v>
      </c>
      <c r="G5" s="9">
        <f>Inventario20[[#This Row],[Precio]]*Inventario20[[#This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IF(Inventario20[[#This Row],[Cantidad de unidades por bulto]]=0, 0, Inventario20[[#This Row],[Precio por bulto ($)]]/Inventario20[[#This Row],[Cantidad de unidades por bulto]])</f>
        <v>0.81</v>
      </c>
      <c r="G6" s="9">
        <f>Inventario20[[#This Row],[Precio]]*Inventario20[[#This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IF(Inventario20[[#This Row],[Cantidad de unidades por bulto]]=0, 0, Inventario20[[#This Row],[Precio por bulto ($)]]/Inventario20[[#This Row],[Cantidad de unidades por bulto]])</f>
        <v>0.8773333333333333</v>
      </c>
      <c r="G7" s="9">
        <f>Inventario20[[#This Row],[Precio]]*Inventario20[[#This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IF(Inventario20[[#This Row],[Cantidad de unidades por bulto]]=0, 0, Inventario20[[#This Row],[Precio por bulto ($)]]/Inventario20[[#This Row],[Cantidad de unidades por bulto]])</f>
        <v>0.75</v>
      </c>
      <c r="G8" s="9">
        <f>Inventario20[[#This Row],[Precio]]*Inventario20[[#This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IF(Inventario20[[#This Row],[Cantidad de unidades por bulto]]=0, 0, Inventario20[[#This Row],[Precio por bulto ($)]]/Inventario20[[#This Row],[Cantidad de unidades por bulto]])</f>
        <v>0.75</v>
      </c>
      <c r="G9" s="9">
        <f>Inventario20[[#This Row],[Precio]]*Inventario20[[#This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IF(Inventario20[[#This Row],[Cantidad de unidades por bulto]]=0, 0, Inventario20[[#This Row],[Precio por bulto ($)]]/Inventario20[[#This Row],[Cantidad de unidades por bulto]])</f>
        <v>1.25</v>
      </c>
      <c r="G10" s="9">
        <f>Inventario20[[#This Row],[Precio]]*Inventario20[[#This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IF(Inventario20[[#This Row],[Cantidad de unidades por bulto]]=0, 0, Inventario20[[#This Row],[Precio por bulto ($)]]/Inventario20[[#This Row],[Cantidad de unidades por bulto]])</f>
        <v>11</v>
      </c>
      <c r="G11" s="9">
        <f>Inventario20[[#This Row],[Precio]]*Inventario20[[#This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IF(Inventario20[[#This Row],[Cantidad de unidades por bulto]]=0, 0, Inventario20[[#This Row],[Precio por bulto ($)]]/Inventario20[[#This Row],[Cantidad de unidades por bulto]])</f>
        <v>11</v>
      </c>
      <c r="G12" s="9">
        <f>Inventario20[[#This Row],[Precio]]*Inventario20[[#This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IF(Inventario20[[#This Row],[Cantidad de unidades por bulto]]=0, 0, Inventario20[[#This Row],[Precio por bulto ($)]]/Inventario20[[#This Row],[Cantidad de unidades por bulto]])</f>
        <v>1.25</v>
      </c>
      <c r="G13" s="9">
        <f>Inventario20[[#This Row],[Precio]]*Inventario20[[#This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IF(Inventario20[[#This Row],[Cantidad de unidades por bulto]]=0, 0, Inventario20[[#This Row],[Precio por bulto ($)]]/Inventario20[[#This Row],[Cantidad de unidades por bulto]])</f>
        <v>1.125</v>
      </c>
      <c r="G14" s="9">
        <f>Inventario20[[#This Row],[Precio]]*Inventario20[[#This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IF(Inventario20[[#This Row],[Cantidad de unidades por bulto]]=0, 0, Inventario20[[#This Row],[Precio por bulto ($)]]/Inventario20[[#This Row],[Cantidad de unidades por bulto]])</f>
        <v>0.69916666666666671</v>
      </c>
      <c r="G15" s="9">
        <f>Inventario20[[#This Row],[Precio]]*Inventario20[[#This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IF(Inventario20[[#This Row],[Cantidad de unidades por bulto]]=0, 0, Inventario20[[#This Row],[Precio por bulto ($)]]/Inventario20[[#This Row],[Cantidad de unidades por bulto]])</f>
        <v>1.125</v>
      </c>
      <c r="G16" s="9">
        <f>Inventario20[[#This Row],[Precio]]*Inventario20[[#This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IF(Inventario20[[#This Row],[Cantidad de unidades por bulto]]=0, 0, Inventario20[[#This Row],[Precio por bulto ($)]]/Inventario20[[#This Row],[Cantidad de unidades por bulto]])</f>
        <v>1.125</v>
      </c>
      <c r="G17" s="9">
        <f>Inventario20[[#This Row],[Precio]]*Inventario20[[#This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IF(Inventario20[[#This Row],[Cantidad de unidades por bulto]]=0, 0, Inventario20[[#This Row],[Precio por bulto ($)]]/Inventario20[[#This Row],[Cantidad de unidades por bulto]])</f>
        <v>0.63461538461538458</v>
      </c>
      <c r="G18" s="9">
        <f>Inventario20[[#This Row],[Precio]]*Inventario20[[#This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IF(Inventario20[[#This Row],[Cantidad de unidades por bulto]]=0, 0, Inventario20[[#This Row],[Precio por bulto ($)]]/Inventario20[[#This Row],[Cantidad de unidades por bulto]])</f>
        <v>0.10416666666666667</v>
      </c>
      <c r="G19" s="9">
        <f>Inventario20[[#This Row],[Precio]]*Inventario20[[#This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IF(Inventario20[[#This Row],[Cantidad de unidades por bulto]]=0, 0, Inventario20[[#This Row],[Precio por bulto ($)]]/Inventario20[[#This Row],[Cantidad de unidades por bulto]])</f>
        <v>2.6</v>
      </c>
      <c r="G20" s="9">
        <f>Inventario20[[#This Row],[Precio]]*Inventario20[[#This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IF(Inventario20[[#This Row],[Cantidad de unidades por bulto]]=0, 0, Inventario20[[#This Row],[Precio por bulto ($)]]/Inventario20[[#This Row],[Cantidad de unidades por bulto]])</f>
        <v>0.9</v>
      </c>
      <c r="G21" s="9">
        <f>Inventario20[[#This Row],[Precio]]*Inventario20[[#This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IF(Inventario20[[#This Row],[Cantidad de unidades por bulto]]=0, 0, Inventario20[[#This Row],[Precio por bulto ($)]]/Inventario20[[#This Row],[Cantidad de unidades por bulto]])</f>
        <v>45</v>
      </c>
      <c r="G22" s="9">
        <f>Inventario20[[#This Row],[Precio]]*Inventario20[[#This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IF(Inventario20[[#This Row],[Cantidad de unidades por bulto]]=0, 0, Inventario20[[#This Row],[Precio por bulto ($)]]/Inventario20[[#This Row],[Cantidad de unidades por bulto]])</f>
        <v>1.6</v>
      </c>
      <c r="G23" s="9">
        <f>Inventario20[[#This Row],[Precio]]*Inventario20[[#This Row],[Existencia]]</f>
        <v>0</v>
      </c>
    </row>
    <row r="24" spans="1:7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IF(Inventario20[[#This Row],[Cantidad de unidades por bulto]]=0, 0, Inventario20[[#This Row],[Precio por bulto ($)]]/Inventario20[[#This Row],[Cantidad de unidades por bulto]])</f>
        <v>0.22</v>
      </c>
      <c r="G24" s="9">
        <f>Inventario20[[#This Row],[Precio]]*Inventario20[[#This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IF(Inventario20[[#This Row],[Cantidad de unidades por bulto]]=0, 0, Inventario20[[#This Row],[Precio por bulto ($)]]/Inventario20[[#This Row],[Cantidad de unidades por bulto]])</f>
        <v>0.35166666666666663</v>
      </c>
      <c r="G25" s="9">
        <f>Inventario20[[#This Row],[Precio]]*Inventario20[[#This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IF(Inventario20[[#This Row],[Cantidad de unidades por bulto]]=0, 0, Inventario20[[#This Row],[Precio por bulto ($)]]/Inventario20[[#This Row],[Cantidad de unidades por bulto]])</f>
        <v>1.8</v>
      </c>
      <c r="G26" s="9">
        <f>Inventario20[[#This Row],[Precio]]*Inventario20[[#This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IF(Inventario20[[#This Row],[Cantidad de unidades por bulto]]=0, 0, Inventario20[[#This Row],[Precio por bulto ($)]]/Inventario20[[#This Row],[Cantidad de unidades por bulto]])</f>
        <v>3.625</v>
      </c>
      <c r="G27" s="9">
        <f>Inventario20[[#This Row],[Precio]]*Inventario20[[#This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IF(Inventario20[[#This Row],[Cantidad de unidades por bulto]]=0, 0, Inventario20[[#This Row],[Precio por bulto ($)]]/Inventario20[[#This Row],[Cantidad de unidades por bulto]])</f>
        <v>0.52083333333333337</v>
      </c>
      <c r="G28" s="9">
        <f>Inventario20[[#This Row],[Precio]]*Inventario20[[#This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IF(Inventario20[[#This Row],[Cantidad de unidades por bulto]]=0, 0, Inventario20[[#This Row],[Precio por bulto ($)]]/Inventario20[[#This Row],[Cantidad de unidades por bulto]])</f>
        <v>29</v>
      </c>
      <c r="G29" s="9">
        <f>Inventario20[[#This Row],[Precio]]*Inventario20[[#This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IF(Inventario20[[#This Row],[Cantidad de unidades por bulto]]=0, 0, Inventario20[[#This Row],[Precio por bulto ($)]]/Inventario20[[#This Row],[Cantidad de unidades por bulto]])</f>
        <v>0.52083333333333337</v>
      </c>
      <c r="G30" s="9">
        <f>Inventario20[[#This Row],[Precio]]*Inventario20[[#This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IF(Inventario20[[#This Row],[Cantidad de unidades por bulto]]=0, 0, Inventario20[[#This Row],[Precio por bulto ($)]]/Inventario20[[#This Row],[Cantidad de unidades por bulto]])</f>
        <v>0.375</v>
      </c>
      <c r="G31" s="9">
        <f>Inventario20[[#This Row],[Precio]]*Inventario20[[#This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IF(Inventario20[[#This Row],[Cantidad de unidades por bulto]]=0, 0, Inventario20[[#This Row],[Precio por bulto ($)]]/Inventario20[[#This Row],[Cantidad de unidades por bulto]])</f>
        <v>7.05</v>
      </c>
      <c r="G32" s="9">
        <f>Inventario20[[#This Row],[Precio]]*Inventario20[[#This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IF(Inventario20[[#This Row],[Cantidad de unidades por bulto]]=0, 0, Inventario20[[#This Row],[Precio por bulto ($)]]/Inventario20[[#This Row],[Cantidad de unidades por bulto]])</f>
        <v>7.05</v>
      </c>
      <c r="G33" s="9">
        <f>Inventario20[[#This Row],[Precio]]*Inventario20[[#This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IF(Inventario20[[#This Row],[Cantidad de unidades por bulto]]=0, 0, Inventario20[[#This Row],[Precio por bulto ($)]]/Inventario20[[#This Row],[Cantidad de unidades por bulto]])</f>
        <v>7.05</v>
      </c>
      <c r="G34" s="9">
        <f>Inventario20[[#This Row],[Precio]]*Inventario20[[#This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IF(Inventario20[[#This Row],[Cantidad de unidades por bulto]]=0, 0, Inventario20[[#This Row],[Precio por bulto ($)]]/Inventario20[[#This Row],[Cantidad de unidades por bulto]])</f>
        <v>1.95</v>
      </c>
      <c r="G35" s="9">
        <f>Inventario20[[#This Row],[Precio]]*Inventario20[[#This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IF(Inventario20[[#This Row],[Cantidad de unidades por bulto]]=0, 0, Inventario20[[#This Row],[Precio por bulto ($)]]/Inventario20[[#This Row],[Cantidad de unidades por bulto]])</f>
        <v>0.3</v>
      </c>
      <c r="G36" s="9">
        <f>Inventario20[[#This Row],[Precio]]*Inventario20[[#This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IF(Inventario20[[#This Row],[Cantidad de unidades por bulto]]=0, 0, Inventario20[[#This Row],[Precio por bulto ($)]]/Inventario20[[#This Row],[Cantidad de unidades por bulto]])</f>
        <v>13.5</v>
      </c>
      <c r="G37" s="9">
        <f>Inventario20[[#This Row],[Precio]]*Inventario20[[#This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IF(Inventario20[[#This Row],[Cantidad de unidades por bulto]]=0, 0, Inventario20[[#This Row],[Precio por bulto ($)]]/Inventario20[[#This Row],[Cantidad de unidades por bulto]])</f>
        <v>11</v>
      </c>
      <c r="G38" s="9">
        <f>Inventario20[[#This Row],[Precio]]*Inventario20[[#This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IF(Inventario20[[#This Row],[Cantidad de unidades por bulto]]=0, 0, Inventario20[[#This Row],[Precio por bulto ($)]]/Inventario20[[#This Row],[Cantidad de unidades por bulto]])</f>
        <v>0.5625</v>
      </c>
      <c r="G39" s="9">
        <f>Inventario20[[#This Row],[Precio]]*Inventario20[[#This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IF(Inventario20[[#This Row],[Cantidad de unidades por bulto]]=0, 0, Inventario20[[#This Row],[Precio por bulto ($)]]/Inventario20[[#This Row],[Cantidad de unidades por bulto]])</f>
        <v>2</v>
      </c>
      <c r="G40" s="9">
        <f>Inventario20[[#This Row],[Precio]]*Inventario20[[#This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0E12B-84F7-4046-9BA0-E78BC5950AD6}">
  <sheetPr codeName="Hoja19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SUM(Inventario19[Importe])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IF(Inventario19[[#This Row],[Cantidad de unidades por bulto]]=0, 0, Inventario19[[#This Row],[Precio por bulto ($)]]/Inventario19[[#This Row],[Cantidad de unidades por bulto]])</f>
        <v>1.25</v>
      </c>
      <c r="G2" s="9">
        <f>Inventario19[[#This Row],[Precio]]*Inventario19[[#This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IF(Inventario19[[#This Row],[Cantidad de unidades por bulto]]=0, 0, Inventario19[[#This Row],[Precio por bulto ($)]]/Inventario19[[#This Row],[Cantidad de unidades por bulto]])</f>
        <v>1.2250000000000001</v>
      </c>
      <c r="G3" s="9">
        <f>Inventario19[[#This Row],[Precio]]*Inventario19[[#This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IF(Inventario19[[#This Row],[Cantidad de unidades por bulto]]=0, 0, Inventario19[[#This Row],[Precio por bulto ($)]]/Inventario19[[#This Row],[Cantidad de unidades por bulto]])</f>
        <v>0.81</v>
      </c>
      <c r="G4" s="9">
        <f>Inventario19[[#This Row],[Precio]]*Inventario19[[#This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IF(Inventario19[[#This Row],[Cantidad de unidades por bulto]]=0, 0, Inventario19[[#This Row],[Precio por bulto ($)]]/Inventario19[[#This Row],[Cantidad de unidades por bulto]])</f>
        <v>0.8</v>
      </c>
      <c r="G5" s="9">
        <f>Inventario19[[#This Row],[Precio]]*Inventario19[[#This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IF(Inventario19[[#This Row],[Cantidad de unidades por bulto]]=0, 0, Inventario19[[#This Row],[Precio por bulto ($)]]/Inventario19[[#This Row],[Cantidad de unidades por bulto]])</f>
        <v>0.81</v>
      </c>
      <c r="G6" s="9">
        <f>Inventario19[[#This Row],[Precio]]*Inventario19[[#This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IF(Inventario19[[#This Row],[Cantidad de unidades por bulto]]=0, 0, Inventario19[[#This Row],[Precio por bulto ($)]]/Inventario19[[#This Row],[Cantidad de unidades por bulto]])</f>
        <v>0.8773333333333333</v>
      </c>
      <c r="G7" s="9">
        <f>Inventario19[[#This Row],[Precio]]*Inventario19[[#This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IF(Inventario19[[#This Row],[Cantidad de unidades por bulto]]=0, 0, Inventario19[[#This Row],[Precio por bulto ($)]]/Inventario19[[#This Row],[Cantidad de unidades por bulto]])</f>
        <v>0.75</v>
      </c>
      <c r="G8" s="9">
        <f>Inventario19[[#This Row],[Precio]]*Inventario19[[#This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IF(Inventario19[[#This Row],[Cantidad de unidades por bulto]]=0, 0, Inventario19[[#This Row],[Precio por bulto ($)]]/Inventario19[[#This Row],[Cantidad de unidades por bulto]])</f>
        <v>0.75</v>
      </c>
      <c r="G9" s="9">
        <f>Inventario19[[#This Row],[Precio]]*Inventario19[[#This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IF(Inventario19[[#This Row],[Cantidad de unidades por bulto]]=0, 0, Inventario19[[#This Row],[Precio por bulto ($)]]/Inventario19[[#This Row],[Cantidad de unidades por bulto]])</f>
        <v>1.25</v>
      </c>
      <c r="G10" s="9">
        <f>Inventario19[[#This Row],[Precio]]*Inventario19[[#This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IF(Inventario19[[#This Row],[Cantidad de unidades por bulto]]=0, 0, Inventario19[[#This Row],[Precio por bulto ($)]]/Inventario19[[#This Row],[Cantidad de unidades por bulto]])</f>
        <v>11</v>
      </c>
      <c r="G11" s="9">
        <f>Inventario19[[#This Row],[Precio]]*Inventario19[[#This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IF(Inventario19[[#This Row],[Cantidad de unidades por bulto]]=0, 0, Inventario19[[#This Row],[Precio por bulto ($)]]/Inventario19[[#This Row],[Cantidad de unidades por bulto]])</f>
        <v>11</v>
      </c>
      <c r="G12" s="9">
        <f>Inventario19[[#This Row],[Precio]]*Inventario19[[#This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IF(Inventario19[[#This Row],[Cantidad de unidades por bulto]]=0, 0, Inventario19[[#This Row],[Precio por bulto ($)]]/Inventario19[[#This Row],[Cantidad de unidades por bulto]])</f>
        <v>1.25</v>
      </c>
      <c r="G13" s="9">
        <f>Inventario19[[#This Row],[Precio]]*Inventario19[[#This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IF(Inventario19[[#This Row],[Cantidad de unidades por bulto]]=0, 0, Inventario19[[#This Row],[Precio por bulto ($)]]/Inventario19[[#This Row],[Cantidad de unidades por bulto]])</f>
        <v>1.125</v>
      </c>
      <c r="G14" s="9">
        <f>Inventario19[[#This Row],[Precio]]*Inventario19[[#This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IF(Inventario19[[#This Row],[Cantidad de unidades por bulto]]=0, 0, Inventario19[[#This Row],[Precio por bulto ($)]]/Inventario19[[#This Row],[Cantidad de unidades por bulto]])</f>
        <v>0.69916666666666671</v>
      </c>
      <c r="G15" s="9">
        <f>Inventario19[[#This Row],[Precio]]*Inventario19[[#This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IF(Inventario19[[#This Row],[Cantidad de unidades por bulto]]=0, 0, Inventario19[[#This Row],[Precio por bulto ($)]]/Inventario19[[#This Row],[Cantidad de unidades por bulto]])</f>
        <v>1.125</v>
      </c>
      <c r="G16" s="9">
        <f>Inventario19[[#This Row],[Precio]]*Inventario19[[#This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IF(Inventario19[[#This Row],[Cantidad de unidades por bulto]]=0, 0, Inventario19[[#This Row],[Precio por bulto ($)]]/Inventario19[[#This Row],[Cantidad de unidades por bulto]])</f>
        <v>1.125</v>
      </c>
      <c r="G17" s="9">
        <f>Inventario19[[#This Row],[Precio]]*Inventario19[[#This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IF(Inventario19[[#This Row],[Cantidad de unidades por bulto]]=0, 0, Inventario19[[#This Row],[Precio por bulto ($)]]/Inventario19[[#This Row],[Cantidad de unidades por bulto]])</f>
        <v>0.63461538461538458</v>
      </c>
      <c r="G18" s="9">
        <f>Inventario19[[#This Row],[Precio]]*Inventario19[[#This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IF(Inventario19[[#This Row],[Cantidad de unidades por bulto]]=0, 0, Inventario19[[#This Row],[Precio por bulto ($)]]/Inventario19[[#This Row],[Cantidad de unidades por bulto]])</f>
        <v>0.10416666666666667</v>
      </c>
      <c r="G19" s="9">
        <f>Inventario19[[#This Row],[Precio]]*Inventario19[[#This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IF(Inventario19[[#This Row],[Cantidad de unidades por bulto]]=0, 0, Inventario19[[#This Row],[Precio por bulto ($)]]/Inventario19[[#This Row],[Cantidad de unidades por bulto]])</f>
        <v>2.6</v>
      </c>
      <c r="G20" s="9">
        <f>Inventario19[[#This Row],[Precio]]*Inventario19[[#This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IF(Inventario19[[#This Row],[Cantidad de unidades por bulto]]=0, 0, Inventario19[[#This Row],[Precio por bulto ($)]]/Inventario19[[#This Row],[Cantidad de unidades por bulto]])</f>
        <v>0.9</v>
      </c>
      <c r="G21" s="9">
        <f>Inventario19[[#This Row],[Precio]]*Inventario19[[#This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IF(Inventario19[[#This Row],[Cantidad de unidades por bulto]]=0, 0, Inventario19[[#This Row],[Precio por bulto ($)]]/Inventario19[[#This Row],[Cantidad de unidades por bulto]])</f>
        <v>45</v>
      </c>
      <c r="G22" s="9">
        <f>Inventario19[[#This Row],[Precio]]*Inventario19[[#This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IF(Inventario19[[#This Row],[Cantidad de unidades por bulto]]=0, 0, Inventario19[[#This Row],[Precio por bulto ($)]]/Inventario19[[#This Row],[Cantidad de unidades por bulto]])</f>
        <v>1.6</v>
      </c>
      <c r="G23" s="9">
        <f>Inventario19[[#This Row],[Precio]]*Inventario19[[#This Row],[Existencia]]</f>
        <v>0</v>
      </c>
    </row>
    <row r="24" spans="1:7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IF(Inventario19[[#This Row],[Cantidad de unidades por bulto]]=0, 0, Inventario19[[#This Row],[Precio por bulto ($)]]/Inventario19[[#This Row],[Cantidad de unidades por bulto]])</f>
        <v>0.22</v>
      </c>
      <c r="G24" s="9">
        <f>Inventario19[[#This Row],[Precio]]*Inventario19[[#This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IF(Inventario19[[#This Row],[Cantidad de unidades por bulto]]=0, 0, Inventario19[[#This Row],[Precio por bulto ($)]]/Inventario19[[#This Row],[Cantidad de unidades por bulto]])</f>
        <v>0.35166666666666663</v>
      </c>
      <c r="G25" s="9">
        <f>Inventario19[[#This Row],[Precio]]*Inventario19[[#This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IF(Inventario19[[#This Row],[Cantidad de unidades por bulto]]=0, 0, Inventario19[[#This Row],[Precio por bulto ($)]]/Inventario19[[#This Row],[Cantidad de unidades por bulto]])</f>
        <v>1.8</v>
      </c>
      <c r="G26" s="9">
        <f>Inventario19[[#This Row],[Precio]]*Inventario19[[#This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IF(Inventario19[[#This Row],[Cantidad de unidades por bulto]]=0, 0, Inventario19[[#This Row],[Precio por bulto ($)]]/Inventario19[[#This Row],[Cantidad de unidades por bulto]])</f>
        <v>3.625</v>
      </c>
      <c r="G27" s="9">
        <f>Inventario19[[#This Row],[Precio]]*Inventario19[[#This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IF(Inventario19[[#This Row],[Cantidad de unidades por bulto]]=0, 0, Inventario19[[#This Row],[Precio por bulto ($)]]/Inventario19[[#This Row],[Cantidad de unidades por bulto]])</f>
        <v>0.52083333333333337</v>
      </c>
      <c r="G28" s="9">
        <f>Inventario19[[#This Row],[Precio]]*Inventario19[[#This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IF(Inventario19[[#This Row],[Cantidad de unidades por bulto]]=0, 0, Inventario19[[#This Row],[Precio por bulto ($)]]/Inventario19[[#This Row],[Cantidad de unidades por bulto]])</f>
        <v>29</v>
      </c>
      <c r="G29" s="9">
        <f>Inventario19[[#This Row],[Precio]]*Inventario19[[#This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IF(Inventario19[[#This Row],[Cantidad de unidades por bulto]]=0, 0, Inventario19[[#This Row],[Precio por bulto ($)]]/Inventario19[[#This Row],[Cantidad de unidades por bulto]])</f>
        <v>0.52083333333333337</v>
      </c>
      <c r="G30" s="9">
        <f>Inventario19[[#This Row],[Precio]]*Inventario19[[#This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IF(Inventario19[[#This Row],[Cantidad de unidades por bulto]]=0, 0, Inventario19[[#This Row],[Precio por bulto ($)]]/Inventario19[[#This Row],[Cantidad de unidades por bulto]])</f>
        <v>0.375</v>
      </c>
      <c r="G31" s="9">
        <f>Inventario19[[#This Row],[Precio]]*Inventario19[[#This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IF(Inventario19[[#This Row],[Cantidad de unidades por bulto]]=0, 0, Inventario19[[#This Row],[Precio por bulto ($)]]/Inventario19[[#This Row],[Cantidad de unidades por bulto]])</f>
        <v>7.05</v>
      </c>
      <c r="G32" s="9">
        <f>Inventario19[[#This Row],[Precio]]*Inventario19[[#This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IF(Inventario19[[#This Row],[Cantidad de unidades por bulto]]=0, 0, Inventario19[[#This Row],[Precio por bulto ($)]]/Inventario19[[#This Row],[Cantidad de unidades por bulto]])</f>
        <v>7.05</v>
      </c>
      <c r="G33" s="9">
        <f>Inventario19[[#This Row],[Precio]]*Inventario19[[#This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IF(Inventario19[[#This Row],[Cantidad de unidades por bulto]]=0, 0, Inventario19[[#This Row],[Precio por bulto ($)]]/Inventario19[[#This Row],[Cantidad de unidades por bulto]])</f>
        <v>7.05</v>
      </c>
      <c r="G34" s="9">
        <f>Inventario19[[#This Row],[Precio]]*Inventario19[[#This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IF(Inventario19[[#This Row],[Cantidad de unidades por bulto]]=0, 0, Inventario19[[#This Row],[Precio por bulto ($)]]/Inventario19[[#This Row],[Cantidad de unidades por bulto]])</f>
        <v>1.95</v>
      </c>
      <c r="G35" s="9">
        <f>Inventario19[[#This Row],[Precio]]*Inventario19[[#This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IF(Inventario19[[#This Row],[Cantidad de unidades por bulto]]=0, 0, Inventario19[[#This Row],[Precio por bulto ($)]]/Inventario19[[#This Row],[Cantidad de unidades por bulto]])</f>
        <v>0.3</v>
      </c>
      <c r="G36" s="9">
        <f>Inventario19[[#This Row],[Precio]]*Inventario19[[#This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IF(Inventario19[[#This Row],[Cantidad de unidades por bulto]]=0, 0, Inventario19[[#This Row],[Precio por bulto ($)]]/Inventario19[[#This Row],[Cantidad de unidades por bulto]])</f>
        <v>13.5</v>
      </c>
      <c r="G37" s="9">
        <f>Inventario19[[#This Row],[Precio]]*Inventario19[[#This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IF(Inventario19[[#This Row],[Cantidad de unidades por bulto]]=0, 0, Inventario19[[#This Row],[Precio por bulto ($)]]/Inventario19[[#This Row],[Cantidad de unidades por bulto]])</f>
        <v>11</v>
      </c>
      <c r="G38" s="9">
        <f>Inventario19[[#This Row],[Precio]]*Inventario19[[#This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IF(Inventario19[[#This Row],[Cantidad de unidades por bulto]]=0, 0, Inventario19[[#This Row],[Precio por bulto ($)]]/Inventario19[[#This Row],[Cantidad de unidades por bulto]])</f>
        <v>0.5625</v>
      </c>
      <c r="G39" s="9">
        <f>Inventario19[[#This Row],[Precio]]*Inventario19[[#This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IF(Inventario19[[#This Row],[Cantidad de unidades por bulto]]=0, 0, Inventario19[[#This Row],[Precio por bulto ($)]]/Inventario19[[#This Row],[Cantidad de unidades por bulto]])</f>
        <v>2</v>
      </c>
      <c r="G40" s="9">
        <f>Inventario19[[#This Row],[Precio]]*Inventario19[[#This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7BCF-EF9C-4FAB-9E4E-4B3FEBB9DB36}">
  <sheetPr codeName="Hoja18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SUM(Inventario18[Importe])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IF(Inventario18[[#This Row],[Cantidad de unidades por bulto]]=0, 0, Inventario18[[#This Row],[Precio por bulto ($)]]/Inventario18[[#This Row],[Cantidad de unidades por bulto]])</f>
        <v>1.25</v>
      </c>
      <c r="G2" s="9">
        <f>Inventario18[[#This Row],[Precio]]*Inventario18[[#This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IF(Inventario18[[#This Row],[Cantidad de unidades por bulto]]=0, 0, Inventario18[[#This Row],[Precio por bulto ($)]]/Inventario18[[#This Row],[Cantidad de unidades por bulto]])</f>
        <v>1.2250000000000001</v>
      </c>
      <c r="G3" s="9">
        <f>Inventario18[[#This Row],[Precio]]*Inventario18[[#This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IF(Inventario18[[#This Row],[Cantidad de unidades por bulto]]=0, 0, Inventario18[[#This Row],[Precio por bulto ($)]]/Inventario18[[#This Row],[Cantidad de unidades por bulto]])</f>
        <v>0.81</v>
      </c>
      <c r="G4" s="9">
        <f>Inventario18[[#This Row],[Precio]]*Inventario18[[#This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IF(Inventario18[[#This Row],[Cantidad de unidades por bulto]]=0, 0, Inventario18[[#This Row],[Precio por bulto ($)]]/Inventario18[[#This Row],[Cantidad de unidades por bulto]])</f>
        <v>0.8</v>
      </c>
      <c r="G5" s="9">
        <f>Inventario18[[#This Row],[Precio]]*Inventario18[[#This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IF(Inventario18[[#This Row],[Cantidad de unidades por bulto]]=0, 0, Inventario18[[#This Row],[Precio por bulto ($)]]/Inventario18[[#This Row],[Cantidad de unidades por bulto]])</f>
        <v>0.81</v>
      </c>
      <c r="G6" s="9">
        <f>Inventario18[[#This Row],[Precio]]*Inventario18[[#This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IF(Inventario18[[#This Row],[Cantidad de unidades por bulto]]=0, 0, Inventario18[[#This Row],[Precio por bulto ($)]]/Inventario18[[#This Row],[Cantidad de unidades por bulto]])</f>
        <v>0.8773333333333333</v>
      </c>
      <c r="G7" s="9">
        <f>Inventario18[[#This Row],[Precio]]*Inventario18[[#This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IF(Inventario18[[#This Row],[Cantidad de unidades por bulto]]=0, 0, Inventario18[[#This Row],[Precio por bulto ($)]]/Inventario18[[#This Row],[Cantidad de unidades por bulto]])</f>
        <v>0.75</v>
      </c>
      <c r="G8" s="9">
        <f>Inventario18[[#This Row],[Precio]]*Inventario18[[#This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IF(Inventario18[[#This Row],[Cantidad de unidades por bulto]]=0, 0, Inventario18[[#This Row],[Precio por bulto ($)]]/Inventario18[[#This Row],[Cantidad de unidades por bulto]])</f>
        <v>0.75</v>
      </c>
      <c r="G9" s="9">
        <f>Inventario18[[#This Row],[Precio]]*Inventario18[[#This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IF(Inventario18[[#This Row],[Cantidad de unidades por bulto]]=0, 0, Inventario18[[#This Row],[Precio por bulto ($)]]/Inventario18[[#This Row],[Cantidad de unidades por bulto]])</f>
        <v>1.25</v>
      </c>
      <c r="G10" s="9">
        <f>Inventario18[[#This Row],[Precio]]*Inventario18[[#This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IF(Inventario18[[#This Row],[Cantidad de unidades por bulto]]=0, 0, Inventario18[[#This Row],[Precio por bulto ($)]]/Inventario18[[#This Row],[Cantidad de unidades por bulto]])</f>
        <v>11</v>
      </c>
      <c r="G11" s="9">
        <f>Inventario18[[#This Row],[Precio]]*Inventario18[[#This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IF(Inventario18[[#This Row],[Cantidad de unidades por bulto]]=0, 0, Inventario18[[#This Row],[Precio por bulto ($)]]/Inventario18[[#This Row],[Cantidad de unidades por bulto]])</f>
        <v>11</v>
      </c>
      <c r="G12" s="9">
        <f>Inventario18[[#This Row],[Precio]]*Inventario18[[#This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IF(Inventario18[[#This Row],[Cantidad de unidades por bulto]]=0, 0, Inventario18[[#This Row],[Precio por bulto ($)]]/Inventario18[[#This Row],[Cantidad de unidades por bulto]])</f>
        <v>1.25</v>
      </c>
      <c r="G13" s="9">
        <f>Inventario18[[#This Row],[Precio]]*Inventario18[[#This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IF(Inventario18[[#This Row],[Cantidad de unidades por bulto]]=0, 0, Inventario18[[#This Row],[Precio por bulto ($)]]/Inventario18[[#This Row],[Cantidad de unidades por bulto]])</f>
        <v>1.125</v>
      </c>
      <c r="G14" s="9">
        <f>Inventario18[[#This Row],[Precio]]*Inventario18[[#This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IF(Inventario18[[#This Row],[Cantidad de unidades por bulto]]=0, 0, Inventario18[[#This Row],[Precio por bulto ($)]]/Inventario18[[#This Row],[Cantidad de unidades por bulto]])</f>
        <v>0.69916666666666671</v>
      </c>
      <c r="G15" s="9">
        <f>Inventario18[[#This Row],[Precio]]*Inventario18[[#This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IF(Inventario18[[#This Row],[Cantidad de unidades por bulto]]=0, 0, Inventario18[[#This Row],[Precio por bulto ($)]]/Inventario18[[#This Row],[Cantidad de unidades por bulto]])</f>
        <v>1.125</v>
      </c>
      <c r="G16" s="9">
        <f>Inventario18[[#This Row],[Precio]]*Inventario18[[#This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IF(Inventario18[[#This Row],[Cantidad de unidades por bulto]]=0, 0, Inventario18[[#This Row],[Precio por bulto ($)]]/Inventario18[[#This Row],[Cantidad de unidades por bulto]])</f>
        <v>1.125</v>
      </c>
      <c r="G17" s="9">
        <f>Inventario18[[#This Row],[Precio]]*Inventario18[[#This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IF(Inventario18[[#This Row],[Cantidad de unidades por bulto]]=0, 0, Inventario18[[#This Row],[Precio por bulto ($)]]/Inventario18[[#This Row],[Cantidad de unidades por bulto]])</f>
        <v>0.63461538461538458</v>
      </c>
      <c r="G18" s="9">
        <f>Inventario18[[#This Row],[Precio]]*Inventario18[[#This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IF(Inventario18[[#This Row],[Cantidad de unidades por bulto]]=0, 0, Inventario18[[#This Row],[Precio por bulto ($)]]/Inventario18[[#This Row],[Cantidad de unidades por bulto]])</f>
        <v>0.10416666666666667</v>
      </c>
      <c r="G19" s="9">
        <f>Inventario18[[#This Row],[Precio]]*Inventario18[[#This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IF(Inventario18[[#This Row],[Cantidad de unidades por bulto]]=0, 0, Inventario18[[#This Row],[Precio por bulto ($)]]/Inventario18[[#This Row],[Cantidad de unidades por bulto]])</f>
        <v>2.6</v>
      </c>
      <c r="G20" s="9">
        <f>Inventario18[[#This Row],[Precio]]*Inventario18[[#This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IF(Inventario18[[#This Row],[Cantidad de unidades por bulto]]=0, 0, Inventario18[[#This Row],[Precio por bulto ($)]]/Inventario18[[#This Row],[Cantidad de unidades por bulto]])</f>
        <v>0.9</v>
      </c>
      <c r="G21" s="9">
        <f>Inventario18[[#This Row],[Precio]]*Inventario18[[#This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IF(Inventario18[[#This Row],[Cantidad de unidades por bulto]]=0, 0, Inventario18[[#This Row],[Precio por bulto ($)]]/Inventario18[[#This Row],[Cantidad de unidades por bulto]])</f>
        <v>45</v>
      </c>
      <c r="G22" s="9">
        <f>Inventario18[[#This Row],[Precio]]*Inventario18[[#This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IF(Inventario18[[#This Row],[Cantidad de unidades por bulto]]=0, 0, Inventario18[[#This Row],[Precio por bulto ($)]]/Inventario18[[#This Row],[Cantidad de unidades por bulto]])</f>
        <v>1.6</v>
      </c>
      <c r="G23" s="9">
        <f>Inventario18[[#This Row],[Precio]]*Inventario18[[#This Row],[Existencia]]</f>
        <v>0</v>
      </c>
    </row>
    <row r="24" spans="1:7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IF(Inventario18[[#This Row],[Cantidad de unidades por bulto]]=0, 0, Inventario18[[#This Row],[Precio por bulto ($)]]/Inventario18[[#This Row],[Cantidad de unidades por bulto]])</f>
        <v>0.22</v>
      </c>
      <c r="G24" s="9">
        <f>Inventario18[[#This Row],[Precio]]*Inventario18[[#This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IF(Inventario18[[#This Row],[Cantidad de unidades por bulto]]=0, 0, Inventario18[[#This Row],[Precio por bulto ($)]]/Inventario18[[#This Row],[Cantidad de unidades por bulto]])</f>
        <v>0.35166666666666663</v>
      </c>
      <c r="G25" s="9">
        <f>Inventario18[[#This Row],[Precio]]*Inventario18[[#This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IF(Inventario18[[#This Row],[Cantidad de unidades por bulto]]=0, 0, Inventario18[[#This Row],[Precio por bulto ($)]]/Inventario18[[#This Row],[Cantidad de unidades por bulto]])</f>
        <v>1.8</v>
      </c>
      <c r="G26" s="9">
        <f>Inventario18[[#This Row],[Precio]]*Inventario18[[#This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IF(Inventario18[[#This Row],[Cantidad de unidades por bulto]]=0, 0, Inventario18[[#This Row],[Precio por bulto ($)]]/Inventario18[[#This Row],[Cantidad de unidades por bulto]])</f>
        <v>3.625</v>
      </c>
      <c r="G27" s="9">
        <f>Inventario18[[#This Row],[Precio]]*Inventario18[[#This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IF(Inventario18[[#This Row],[Cantidad de unidades por bulto]]=0, 0, Inventario18[[#This Row],[Precio por bulto ($)]]/Inventario18[[#This Row],[Cantidad de unidades por bulto]])</f>
        <v>0.52083333333333337</v>
      </c>
      <c r="G28" s="9">
        <f>Inventario18[[#This Row],[Precio]]*Inventario18[[#This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IF(Inventario18[[#This Row],[Cantidad de unidades por bulto]]=0, 0, Inventario18[[#This Row],[Precio por bulto ($)]]/Inventario18[[#This Row],[Cantidad de unidades por bulto]])</f>
        <v>29</v>
      </c>
      <c r="G29" s="9">
        <f>Inventario18[[#This Row],[Precio]]*Inventario18[[#This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IF(Inventario18[[#This Row],[Cantidad de unidades por bulto]]=0, 0, Inventario18[[#This Row],[Precio por bulto ($)]]/Inventario18[[#This Row],[Cantidad de unidades por bulto]])</f>
        <v>0.52083333333333337</v>
      </c>
      <c r="G30" s="9">
        <f>Inventario18[[#This Row],[Precio]]*Inventario18[[#This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IF(Inventario18[[#This Row],[Cantidad de unidades por bulto]]=0, 0, Inventario18[[#This Row],[Precio por bulto ($)]]/Inventario18[[#This Row],[Cantidad de unidades por bulto]])</f>
        <v>0.375</v>
      </c>
      <c r="G31" s="9">
        <f>Inventario18[[#This Row],[Precio]]*Inventario18[[#This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IF(Inventario18[[#This Row],[Cantidad de unidades por bulto]]=0, 0, Inventario18[[#This Row],[Precio por bulto ($)]]/Inventario18[[#This Row],[Cantidad de unidades por bulto]])</f>
        <v>7.05</v>
      </c>
      <c r="G32" s="9">
        <f>Inventario18[[#This Row],[Precio]]*Inventario18[[#This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IF(Inventario18[[#This Row],[Cantidad de unidades por bulto]]=0, 0, Inventario18[[#This Row],[Precio por bulto ($)]]/Inventario18[[#This Row],[Cantidad de unidades por bulto]])</f>
        <v>7.05</v>
      </c>
      <c r="G33" s="9">
        <f>Inventario18[[#This Row],[Precio]]*Inventario18[[#This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IF(Inventario18[[#This Row],[Cantidad de unidades por bulto]]=0, 0, Inventario18[[#This Row],[Precio por bulto ($)]]/Inventario18[[#This Row],[Cantidad de unidades por bulto]])</f>
        <v>7.05</v>
      </c>
      <c r="G34" s="9">
        <f>Inventario18[[#This Row],[Precio]]*Inventario18[[#This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IF(Inventario18[[#This Row],[Cantidad de unidades por bulto]]=0, 0, Inventario18[[#This Row],[Precio por bulto ($)]]/Inventario18[[#This Row],[Cantidad de unidades por bulto]])</f>
        <v>1.95</v>
      </c>
      <c r="G35" s="9">
        <f>Inventario18[[#This Row],[Precio]]*Inventario18[[#This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IF(Inventario18[[#This Row],[Cantidad de unidades por bulto]]=0, 0, Inventario18[[#This Row],[Precio por bulto ($)]]/Inventario18[[#This Row],[Cantidad de unidades por bulto]])</f>
        <v>0.3</v>
      </c>
      <c r="G36" s="9">
        <f>Inventario18[[#This Row],[Precio]]*Inventario18[[#This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IF(Inventario18[[#This Row],[Cantidad de unidades por bulto]]=0, 0, Inventario18[[#This Row],[Precio por bulto ($)]]/Inventario18[[#This Row],[Cantidad de unidades por bulto]])</f>
        <v>13.5</v>
      </c>
      <c r="G37" s="9">
        <f>Inventario18[[#This Row],[Precio]]*Inventario18[[#This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IF(Inventario18[[#This Row],[Cantidad de unidades por bulto]]=0, 0, Inventario18[[#This Row],[Precio por bulto ($)]]/Inventario18[[#This Row],[Cantidad de unidades por bulto]])</f>
        <v>11</v>
      </c>
      <c r="G38" s="9">
        <f>Inventario18[[#This Row],[Precio]]*Inventario18[[#This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IF(Inventario18[[#This Row],[Cantidad de unidades por bulto]]=0, 0, Inventario18[[#This Row],[Precio por bulto ($)]]/Inventario18[[#This Row],[Cantidad de unidades por bulto]])</f>
        <v>0.5625</v>
      </c>
      <c r="G39" s="9">
        <f>Inventario18[[#This Row],[Precio]]*Inventario18[[#This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IF(Inventario18[[#This Row],[Cantidad de unidades por bulto]]=0, 0, Inventario18[[#This Row],[Precio por bulto ($)]]/Inventario18[[#This Row],[Cantidad de unidades por bulto]])</f>
        <v>2</v>
      </c>
      <c r="G40" s="9">
        <f>Inventario18[[#This Row],[Precio]]*Inventario18[[#This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111F3-DDCF-4475-89FA-897DB80EF1DB}">
  <sheetPr codeName="Hoja17"/>
  <dimension ref="A1:L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1" width="11.44140625" style="3"/>
    <col min="12" max="12" width="6.33203125" style="3" bestFit="1" customWidth="1"/>
    <col min="13" max="16384" width="11.44140625" style="3"/>
  </cols>
  <sheetData>
    <row r="1" spans="1:12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SUM(Inventario17[Importe])</f>
        <v>4.3491666666666671</v>
      </c>
      <c r="L1" s="3" t="s">
        <v>36</v>
      </c>
    </row>
    <row r="2" spans="1:12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IF(Inventario17[[#This Row],[Cantidad de unidades por bulto]]=0, 0, Inventario17[[#This Row],[Precio por bulto ($)]]/Inventario17[[#This Row],[Cantidad de unidades por bulto]])</f>
        <v>1.25</v>
      </c>
      <c r="G2" s="9">
        <f>Inventario17[[#This Row],[Precio]]*Inventario17[[#This Row],[Existencia]]</f>
        <v>0</v>
      </c>
      <c r="I2" s="1"/>
      <c r="J2" s="9"/>
    </row>
    <row r="3" spans="1:12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IF(Inventario17[[#This Row],[Cantidad de unidades por bulto]]=0, 0, Inventario17[[#This Row],[Precio por bulto ($)]]/Inventario17[[#This Row],[Cantidad de unidades por bulto]])</f>
        <v>1.2250000000000001</v>
      </c>
      <c r="G3" s="9">
        <f>Inventario17[[#This Row],[Precio]]*Inventario17[[#This Row],[Existencia]]</f>
        <v>0</v>
      </c>
      <c r="I3" s="1"/>
      <c r="J3" s="9"/>
    </row>
    <row r="4" spans="1:12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IF(Inventario17[[#This Row],[Cantidad de unidades por bulto]]=0, 0, Inventario17[[#This Row],[Precio por bulto ($)]]/Inventario17[[#This Row],[Cantidad de unidades por bulto]])</f>
        <v>0.81</v>
      </c>
      <c r="G4" s="9">
        <f>Inventario17[[#This Row],[Precio]]*Inventario17[[#This Row],[Existencia]]</f>
        <v>0</v>
      </c>
      <c r="I4" s="1"/>
      <c r="J4" s="9"/>
    </row>
    <row r="5" spans="1:12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IF(Inventario17[[#This Row],[Cantidad de unidades por bulto]]=0, 0, Inventario17[[#This Row],[Precio por bulto ($)]]/Inventario17[[#This Row],[Cantidad de unidades por bulto]])</f>
        <v>0.8</v>
      </c>
      <c r="G5" s="9">
        <f>Inventario17[[#This Row],[Precio]]*Inventario17[[#This Row],[Existencia]]</f>
        <v>0</v>
      </c>
      <c r="I5" s="1"/>
      <c r="J5" s="9"/>
    </row>
    <row r="6" spans="1:12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IF(Inventario17[[#This Row],[Cantidad de unidades por bulto]]=0, 0, Inventario17[[#This Row],[Precio por bulto ($)]]/Inventario17[[#This Row],[Cantidad de unidades por bulto]])</f>
        <v>0.81</v>
      </c>
      <c r="G6" s="9">
        <f>Inventario17[[#This Row],[Precio]]*Inventario17[[#This Row],[Existencia]]</f>
        <v>0</v>
      </c>
      <c r="I6" s="1"/>
      <c r="J6" s="9"/>
    </row>
    <row r="7" spans="1:12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IF(Inventario17[[#This Row],[Cantidad de unidades por bulto]]=0, 0, Inventario17[[#This Row],[Precio por bulto ($)]]/Inventario17[[#This Row],[Cantidad de unidades por bulto]])</f>
        <v>0.8773333333333333</v>
      </c>
      <c r="G7" s="9">
        <f>Inventario17[[#This Row],[Precio]]*Inventario17[[#This Row],[Existencia]]</f>
        <v>0</v>
      </c>
      <c r="I7" s="1"/>
      <c r="J7" s="9"/>
    </row>
    <row r="8" spans="1:12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IF(Inventario17[[#This Row],[Cantidad de unidades por bulto]]=0, 0, Inventario17[[#This Row],[Precio por bulto ($)]]/Inventario17[[#This Row],[Cantidad de unidades por bulto]])</f>
        <v>0.75</v>
      </c>
      <c r="G8" s="9">
        <f>Inventario17[[#This Row],[Precio]]*Inventario17[[#This Row],[Existencia]]</f>
        <v>0</v>
      </c>
      <c r="I8" s="1"/>
      <c r="J8" s="9"/>
    </row>
    <row r="9" spans="1:12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IF(Inventario17[[#This Row],[Cantidad de unidades por bulto]]=0, 0, Inventario17[[#This Row],[Precio por bulto ($)]]/Inventario17[[#This Row],[Cantidad de unidades por bulto]])</f>
        <v>0.75</v>
      </c>
      <c r="G9" s="9">
        <f>Inventario17[[#This Row],[Precio]]*Inventario17[[#This Row],[Existencia]]</f>
        <v>0</v>
      </c>
      <c r="I9" s="1"/>
      <c r="J9" s="9"/>
    </row>
    <row r="10" spans="1:12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IF(Inventario17[[#This Row],[Cantidad de unidades por bulto]]=0, 0, Inventario17[[#This Row],[Precio por bulto ($)]]/Inventario17[[#This Row],[Cantidad de unidades por bulto]])</f>
        <v>1.25</v>
      </c>
      <c r="G10" s="9">
        <f>Inventario17[[#This Row],[Precio]]*Inventario17[[#This Row],[Existencia]]</f>
        <v>0</v>
      </c>
      <c r="I10" s="1"/>
      <c r="J10" s="9"/>
    </row>
    <row r="11" spans="1:12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IF(Inventario17[[#This Row],[Cantidad de unidades por bulto]]=0, 0, Inventario17[[#This Row],[Precio por bulto ($)]]/Inventario17[[#This Row],[Cantidad de unidades por bulto]])</f>
        <v>11</v>
      </c>
      <c r="G11" s="9">
        <f>Inventario17[[#This Row],[Precio]]*Inventario17[[#This Row],[Existencia]]</f>
        <v>0</v>
      </c>
      <c r="I11" s="1"/>
      <c r="J11" s="9"/>
    </row>
    <row r="12" spans="1:12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IF(Inventario17[[#This Row],[Cantidad de unidades por bulto]]=0, 0, Inventario17[[#This Row],[Precio por bulto ($)]]/Inventario17[[#This Row],[Cantidad de unidades por bulto]])</f>
        <v>11</v>
      </c>
      <c r="G12" s="9">
        <f>Inventario17[[#This Row],[Precio]]*Inventario17[[#This Row],[Existencia]]</f>
        <v>0</v>
      </c>
      <c r="I12" s="1"/>
      <c r="J12" s="9"/>
      <c r="L12" s="3">
        <v>0</v>
      </c>
    </row>
    <row r="13" spans="1:12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IF(Inventario17[[#This Row],[Cantidad de unidades por bulto]]=0, 0, Inventario17[[#This Row],[Precio por bulto ($)]]/Inventario17[[#This Row],[Cantidad de unidades por bulto]])</f>
        <v>1.25</v>
      </c>
      <c r="G13" s="9">
        <f>Inventario17[[#This Row],[Precio]]*Inventario17[[#This Row],[Existencia]]</f>
        <v>0</v>
      </c>
      <c r="H13" s="4"/>
      <c r="L13" s="3">
        <v>0</v>
      </c>
    </row>
    <row r="14" spans="1:12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IF(Inventario17[[#This Row],[Cantidad de unidades por bulto]]=0, 0, Inventario17[[#This Row],[Precio por bulto ($)]]/Inventario17[[#This Row],[Cantidad de unidades por bulto]])</f>
        <v>1.125</v>
      </c>
      <c r="G14" s="9">
        <f>Inventario17[[#This Row],[Precio]]*Inventario17[[#This Row],[Existencia]]</f>
        <v>0</v>
      </c>
      <c r="L14" s="3">
        <v>0</v>
      </c>
    </row>
    <row r="15" spans="1:12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IF(Inventario17[[#This Row],[Cantidad de unidades por bulto]]=0, 0, Inventario17[[#This Row],[Precio por bulto ($)]]/Inventario17[[#This Row],[Cantidad de unidades por bulto]])</f>
        <v>0.69916666666666671</v>
      </c>
      <c r="G15" s="9">
        <f>Inventario17[[#This Row],[Precio]]*Inventario17[[#This Row],[Existencia]]</f>
        <v>0</v>
      </c>
      <c r="L15" s="3">
        <v>0</v>
      </c>
    </row>
    <row r="16" spans="1:12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IF(Inventario17[[#This Row],[Cantidad de unidades por bulto]]=0, 0, Inventario17[[#This Row],[Precio por bulto ($)]]/Inventario17[[#This Row],[Cantidad de unidades por bulto]])</f>
        <v>1.125</v>
      </c>
      <c r="G16" s="9">
        <f>Inventario17[[#This Row],[Precio]]*Inventario17[[#This Row],[Existencia]]</f>
        <v>0</v>
      </c>
      <c r="L16" s="3">
        <v>0</v>
      </c>
    </row>
    <row r="17" spans="1:12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IF(Inventario17[[#This Row],[Cantidad de unidades por bulto]]=0, 0, Inventario17[[#This Row],[Precio por bulto ($)]]/Inventario17[[#This Row],[Cantidad de unidades por bulto]])</f>
        <v>1.125</v>
      </c>
      <c r="G17" s="9">
        <f>Inventario17[[#This Row],[Precio]]*Inventario17[[#This Row],[Existencia]]</f>
        <v>0</v>
      </c>
      <c r="L17" s="3">
        <v>0</v>
      </c>
    </row>
    <row r="18" spans="1:12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IF(Inventario17[[#This Row],[Cantidad de unidades por bulto]]=0, 0, Inventario17[[#This Row],[Precio por bulto ($)]]/Inventario17[[#This Row],[Cantidad de unidades por bulto]])</f>
        <v>0.63461538461538458</v>
      </c>
      <c r="G18" s="9">
        <f>Inventario17[[#This Row],[Precio]]*Inventario17[[#This Row],[Existencia]]</f>
        <v>0</v>
      </c>
      <c r="L18" s="3">
        <v>0</v>
      </c>
    </row>
    <row r="19" spans="1:12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IF(Inventario17[[#This Row],[Cantidad de unidades por bulto]]=0, 0, Inventario17[[#This Row],[Precio por bulto ($)]]/Inventario17[[#This Row],[Cantidad de unidades por bulto]])</f>
        <v>0.10416666666666667</v>
      </c>
      <c r="G19" s="9">
        <f>Inventario17[[#This Row],[Precio]]*Inventario17[[#This Row],[Existencia]]</f>
        <v>0</v>
      </c>
      <c r="L19" s="3">
        <v>0</v>
      </c>
    </row>
    <row r="20" spans="1:12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IF(Inventario17[[#This Row],[Cantidad de unidades por bulto]]=0, 0, Inventario17[[#This Row],[Precio por bulto ($)]]/Inventario17[[#This Row],[Cantidad de unidades por bulto]])</f>
        <v>2.6</v>
      </c>
      <c r="G20" s="9">
        <f>Inventario17[[#This Row],[Precio]]*Inventario17[[#This Row],[Existencia]]</f>
        <v>0</v>
      </c>
      <c r="L20" s="3">
        <v>0</v>
      </c>
    </row>
    <row r="21" spans="1:12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IF(Inventario17[[#This Row],[Cantidad de unidades por bulto]]=0, 0, Inventario17[[#This Row],[Precio por bulto ($)]]/Inventario17[[#This Row],[Cantidad de unidades por bulto]])</f>
        <v>0.9</v>
      </c>
      <c r="G21" s="9">
        <f>Inventario17[[#This Row],[Precio]]*Inventario17[[#This Row],[Existencia]]</f>
        <v>0</v>
      </c>
      <c r="L21" s="3">
        <v>0</v>
      </c>
    </row>
    <row r="22" spans="1:12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IF(Inventario17[[#This Row],[Cantidad de unidades por bulto]]=0, 0, Inventario17[[#This Row],[Precio por bulto ($)]]/Inventario17[[#This Row],[Cantidad de unidades por bulto]])</f>
        <v>45</v>
      </c>
      <c r="G22" s="9">
        <f>Inventario17[[#This Row],[Precio]]*Inventario17[[#This Row],[Existencia]]</f>
        <v>0</v>
      </c>
      <c r="L22" s="3">
        <v>0</v>
      </c>
    </row>
    <row r="23" spans="1:12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IF(Inventario17[[#This Row],[Cantidad de unidades por bulto]]=0, 0, Inventario17[[#This Row],[Precio por bulto ($)]]/Inventario17[[#This Row],[Cantidad de unidades por bulto]])</f>
        <v>1.6</v>
      </c>
      <c r="G23" s="9">
        <f>Inventario17[[#This Row],[Precio]]*Inventario17[[#This Row],[Existencia]]</f>
        <v>0</v>
      </c>
      <c r="L23" s="3">
        <v>0</v>
      </c>
    </row>
    <row r="24" spans="1:12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IF(Inventario17[[#This Row],[Cantidad de unidades por bulto]]=0, 0, Inventario17[[#This Row],[Precio por bulto ($)]]/Inventario17[[#This Row],[Cantidad de unidades por bulto]])</f>
        <v>0.22</v>
      </c>
      <c r="G24" s="9">
        <f>Inventario17[[#This Row],[Precio]]*Inventario17[[#This Row],[Existencia]]</f>
        <v>0</v>
      </c>
      <c r="L24" s="3">
        <v>0</v>
      </c>
    </row>
    <row r="25" spans="1:12" x14ac:dyDescent="0.3">
      <c r="A25" s="1">
        <v>17</v>
      </c>
      <c r="B25" s="2" t="s">
        <v>24</v>
      </c>
      <c r="C25" s="11">
        <v>2</v>
      </c>
      <c r="D25" s="4">
        <v>12</v>
      </c>
      <c r="E25" s="5">
        <v>4.22</v>
      </c>
      <c r="F25" s="6">
        <f>IF(Inventario17[[#This Row],[Cantidad de unidades por bulto]]=0, 0, Inventario17[[#This Row],[Precio por bulto ($)]]/Inventario17[[#This Row],[Cantidad de unidades por bulto]])</f>
        <v>0.35166666666666663</v>
      </c>
      <c r="G25" s="9">
        <f>Inventario17[[#This Row],[Precio]]*Inventario17[[#This Row],[Existencia]]</f>
        <v>0.70333333333333325</v>
      </c>
      <c r="L25" s="3">
        <v>0</v>
      </c>
    </row>
    <row r="26" spans="1:12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IF(Inventario17[[#This Row],[Cantidad de unidades por bulto]]=0, 0, Inventario17[[#This Row],[Precio por bulto ($)]]/Inventario17[[#This Row],[Cantidad de unidades por bulto]])</f>
        <v>1.8</v>
      </c>
      <c r="G26" s="9">
        <f>Inventario17[[#This Row],[Precio]]*Inventario17[[#This Row],[Existencia]]</f>
        <v>0</v>
      </c>
      <c r="L26" s="3">
        <v>0</v>
      </c>
    </row>
    <row r="27" spans="1:12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IF(Inventario17[[#This Row],[Cantidad de unidades por bulto]]=0, 0, Inventario17[[#This Row],[Precio por bulto ($)]]/Inventario17[[#This Row],[Cantidad de unidades por bulto]])</f>
        <v>3.625</v>
      </c>
      <c r="G27" s="9">
        <f>Inventario17[[#This Row],[Precio]]*Inventario17[[#This Row],[Existencia]]</f>
        <v>0</v>
      </c>
      <c r="L27" s="3">
        <v>0</v>
      </c>
    </row>
    <row r="28" spans="1:12" x14ac:dyDescent="0.3">
      <c r="A28" s="1">
        <v>20</v>
      </c>
      <c r="B28" s="10" t="s">
        <v>27</v>
      </c>
      <c r="C28" s="11">
        <v>5</v>
      </c>
      <c r="D28" s="4">
        <v>24</v>
      </c>
      <c r="E28" s="5">
        <v>12.5</v>
      </c>
      <c r="F28" s="6">
        <f>IF(Inventario17[[#This Row],[Cantidad de unidades por bulto]]=0, 0, Inventario17[[#This Row],[Precio por bulto ($)]]/Inventario17[[#This Row],[Cantidad de unidades por bulto]])</f>
        <v>0.52083333333333337</v>
      </c>
      <c r="G28" s="9">
        <f>Inventario17[[#This Row],[Precio]]*Inventario17[[#This Row],[Existencia]]</f>
        <v>2.604166666666667</v>
      </c>
      <c r="L28" s="3">
        <v>0</v>
      </c>
    </row>
    <row r="29" spans="1:12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IF(Inventario17[[#This Row],[Cantidad de unidades por bulto]]=0, 0, Inventario17[[#This Row],[Precio por bulto ($)]]/Inventario17[[#This Row],[Cantidad de unidades por bulto]])</f>
        <v>29</v>
      </c>
      <c r="G29" s="9">
        <f>Inventario17[[#This Row],[Precio]]*Inventario17[[#This Row],[Existencia]]</f>
        <v>0</v>
      </c>
      <c r="L29" s="3">
        <v>2</v>
      </c>
    </row>
    <row r="30" spans="1:12" x14ac:dyDescent="0.3">
      <c r="A30" s="1">
        <v>21</v>
      </c>
      <c r="B30" s="2" t="s">
        <v>28</v>
      </c>
      <c r="C30" s="11">
        <v>2</v>
      </c>
      <c r="D30" s="4">
        <v>24</v>
      </c>
      <c r="E30" s="5">
        <v>12.5</v>
      </c>
      <c r="F30" s="6">
        <f>IF(Inventario17[[#This Row],[Cantidad de unidades por bulto]]=0, 0, Inventario17[[#This Row],[Precio por bulto ($)]]/Inventario17[[#This Row],[Cantidad de unidades por bulto]])</f>
        <v>0.52083333333333337</v>
      </c>
      <c r="G30" s="9">
        <f>Inventario17[[#This Row],[Precio]]*Inventario17[[#This Row],[Existencia]]</f>
        <v>1.0416666666666667</v>
      </c>
      <c r="L30" s="3">
        <v>0</v>
      </c>
    </row>
    <row r="31" spans="1:12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IF(Inventario17[[#This Row],[Cantidad de unidades por bulto]]=0, 0, Inventario17[[#This Row],[Precio por bulto ($)]]/Inventario17[[#This Row],[Cantidad de unidades por bulto]])</f>
        <v>0.375</v>
      </c>
      <c r="G31" s="9">
        <f>Inventario17[[#This Row],[Precio]]*Inventario17[[#This Row],[Existencia]]</f>
        <v>0</v>
      </c>
      <c r="L31" s="3">
        <v>0</v>
      </c>
    </row>
    <row r="32" spans="1:12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IF(Inventario17[[#This Row],[Cantidad de unidades por bulto]]=0, 0, Inventario17[[#This Row],[Precio por bulto ($)]]/Inventario17[[#This Row],[Cantidad de unidades por bulto]])</f>
        <v>7.05</v>
      </c>
      <c r="G32" s="9">
        <f>Inventario17[[#This Row],[Precio]]*Inventario17[[#This Row],[Existencia]]</f>
        <v>0</v>
      </c>
      <c r="L32" s="3">
        <v>5</v>
      </c>
    </row>
    <row r="33" spans="1:12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IF(Inventario17[[#This Row],[Cantidad de unidades por bulto]]=0, 0, Inventario17[[#This Row],[Precio por bulto ($)]]/Inventario17[[#This Row],[Cantidad de unidades por bulto]])</f>
        <v>7.05</v>
      </c>
      <c r="G33" s="9">
        <f>Inventario17[[#This Row],[Precio]]*Inventario17[[#This Row],[Existencia]]</f>
        <v>0</v>
      </c>
      <c r="L33" s="3">
        <v>2</v>
      </c>
    </row>
    <row r="34" spans="1:12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IF(Inventario17[[#This Row],[Cantidad de unidades por bulto]]=0, 0, Inventario17[[#This Row],[Precio por bulto ($)]]/Inventario17[[#This Row],[Cantidad de unidades por bulto]])</f>
        <v>7.05</v>
      </c>
      <c r="G34" s="9">
        <f>Inventario17[[#This Row],[Precio]]*Inventario17[[#This Row],[Existencia]]</f>
        <v>0</v>
      </c>
      <c r="L34" s="3">
        <v>0</v>
      </c>
    </row>
    <row r="35" spans="1:12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IF(Inventario17[[#This Row],[Cantidad de unidades por bulto]]=0, 0, Inventario17[[#This Row],[Precio por bulto ($)]]/Inventario17[[#This Row],[Cantidad de unidades por bulto]])</f>
        <v>1.95</v>
      </c>
      <c r="G35" s="9">
        <f>Inventario17[[#This Row],[Precio]]*Inventario17[[#This Row],[Existencia]]</f>
        <v>0</v>
      </c>
      <c r="L35" s="3">
        <v>0</v>
      </c>
    </row>
    <row r="36" spans="1:12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IF(Inventario17[[#This Row],[Cantidad de unidades por bulto]]=0, 0, Inventario17[[#This Row],[Precio por bulto ($)]]/Inventario17[[#This Row],[Cantidad de unidades por bulto]])</f>
        <v>0.3</v>
      </c>
      <c r="G36" s="9">
        <f>Inventario17[[#This Row],[Precio]]*Inventario17[[#This Row],[Existencia]]</f>
        <v>0</v>
      </c>
      <c r="L36" s="3">
        <v>0</v>
      </c>
    </row>
    <row r="37" spans="1:12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IF(Inventario17[[#This Row],[Cantidad de unidades por bulto]]=0, 0, Inventario17[[#This Row],[Precio por bulto ($)]]/Inventario17[[#This Row],[Cantidad de unidades por bulto]])</f>
        <v>13.5</v>
      </c>
      <c r="G37" s="9">
        <f>Inventario17[[#This Row],[Precio]]*Inventario17[[#This Row],[Existencia]]</f>
        <v>0</v>
      </c>
      <c r="L37" s="3">
        <v>0</v>
      </c>
    </row>
    <row r="38" spans="1:12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IF(Inventario17[[#This Row],[Cantidad de unidades por bulto]]=0, 0, Inventario17[[#This Row],[Precio por bulto ($)]]/Inventario17[[#This Row],[Cantidad de unidades por bulto]])</f>
        <v>11</v>
      </c>
      <c r="G38" s="9">
        <f>Inventario17[[#This Row],[Precio]]*Inventario17[[#This Row],[Existencia]]</f>
        <v>0</v>
      </c>
      <c r="L38" s="3">
        <v>0</v>
      </c>
    </row>
    <row r="39" spans="1:12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IF(Inventario17[[#This Row],[Cantidad de unidades por bulto]]=0, 0, Inventario17[[#This Row],[Precio por bulto ($)]]/Inventario17[[#This Row],[Cantidad de unidades por bulto]])</f>
        <v>0.5625</v>
      </c>
      <c r="G39" s="9">
        <f>Inventario17[[#This Row],[Precio]]*Inventario17[[#This Row],[Existencia]]</f>
        <v>0</v>
      </c>
      <c r="L39" s="3">
        <v>0</v>
      </c>
    </row>
    <row r="40" spans="1:12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IF(Inventario17[[#This Row],[Cantidad de unidades por bulto]]=0, 0, Inventario17[[#This Row],[Precio por bulto ($)]]/Inventario17[[#This Row],[Cantidad de unidades por bulto]])</f>
        <v>2</v>
      </c>
      <c r="G40" s="9">
        <f>Inventario17[[#This Row],[Precio]]*Inventario17[[#This Row],[Existencia]]</f>
        <v>0</v>
      </c>
      <c r="L40" s="3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B1C23-1CBF-4FFB-91CB-2FD3954801DD}">
  <sheetPr codeName="Hoja16"/>
  <dimension ref="A1:M40"/>
  <sheetViews>
    <sheetView topLeftCell="A17" workbookViewId="0">
      <selection activeCell="C26" sqref="C26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8.109375" style="3" bestFit="1" customWidth="1"/>
    <col min="8" max="8" width="18.109375" style="3" bestFit="1" customWidth="1"/>
    <col min="9" max="9" width="13.5546875" style="3" bestFit="1" customWidth="1"/>
    <col min="10" max="10" width="7.6640625" style="3" bestFit="1" customWidth="1"/>
    <col min="11" max="11" width="11.44140625" style="3"/>
    <col min="12" max="12" width="6.33203125" style="3" bestFit="1" customWidth="1"/>
    <col min="13" max="13" width="19.88671875" style="3" bestFit="1" customWidth="1"/>
    <col min="14" max="16384" width="11.44140625" style="3"/>
  </cols>
  <sheetData>
    <row r="1" spans="1:12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SUM(Inventario16[Importe])</f>
        <v>0.70333333333333325</v>
      </c>
      <c r="L1" s="3" t="s">
        <v>36</v>
      </c>
    </row>
    <row r="2" spans="1:12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IF(Inventario16[[#This Row],[Cantidad de unidades por bulto]]=0, 0, Inventario16[[#This Row],[Precio por bulto ($)]]/Inventario16[[#This Row],[Cantidad de unidades por bulto]])</f>
        <v>1.25</v>
      </c>
      <c r="G2" s="9">
        <f>Inventario16[[#This Row],[Precio]]*Inventario16[[#This Row],[Existencia]]</f>
        <v>0</v>
      </c>
      <c r="I2" s="1"/>
      <c r="J2" s="9"/>
    </row>
    <row r="3" spans="1:12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IF(Inventario16[[#This Row],[Cantidad de unidades por bulto]]=0, 0, Inventario16[[#This Row],[Precio por bulto ($)]]/Inventario16[[#This Row],[Cantidad de unidades por bulto]])</f>
        <v>1.2250000000000001</v>
      </c>
      <c r="G3" s="9">
        <f>Inventario16[[#This Row],[Precio]]*Inventario16[[#This Row],[Existencia]]</f>
        <v>0</v>
      </c>
      <c r="I3" s="1"/>
      <c r="J3" s="9"/>
    </row>
    <row r="4" spans="1:12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IF(Inventario16[[#This Row],[Cantidad de unidades por bulto]]=0, 0, Inventario16[[#This Row],[Precio por bulto ($)]]/Inventario16[[#This Row],[Cantidad de unidades por bulto]])</f>
        <v>0.81</v>
      </c>
      <c r="G4" s="9">
        <f>Inventario16[[#This Row],[Precio]]*Inventario16[[#This Row],[Existencia]]</f>
        <v>0</v>
      </c>
      <c r="I4" s="1"/>
      <c r="J4" s="9"/>
    </row>
    <row r="5" spans="1:12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IF(Inventario16[[#This Row],[Cantidad de unidades por bulto]]=0, 0, Inventario16[[#This Row],[Precio por bulto ($)]]/Inventario16[[#This Row],[Cantidad de unidades por bulto]])</f>
        <v>0.8</v>
      </c>
      <c r="G5" s="9">
        <f>Inventario16[[#This Row],[Precio]]*Inventario16[[#This Row],[Existencia]]</f>
        <v>0</v>
      </c>
      <c r="I5" s="1"/>
      <c r="J5" s="9"/>
    </row>
    <row r="6" spans="1:12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IF(Inventario16[[#This Row],[Cantidad de unidades por bulto]]=0, 0, Inventario16[[#This Row],[Precio por bulto ($)]]/Inventario16[[#This Row],[Cantidad de unidades por bulto]])</f>
        <v>0.81</v>
      </c>
      <c r="G6" s="9">
        <f>Inventario16[[#This Row],[Precio]]*Inventario16[[#This Row],[Existencia]]</f>
        <v>0</v>
      </c>
      <c r="I6" s="1"/>
      <c r="J6" s="9"/>
    </row>
    <row r="7" spans="1:12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IF(Inventario16[[#This Row],[Cantidad de unidades por bulto]]=0, 0, Inventario16[[#This Row],[Precio por bulto ($)]]/Inventario16[[#This Row],[Cantidad de unidades por bulto]])</f>
        <v>0.8773333333333333</v>
      </c>
      <c r="G7" s="9">
        <f>Inventario16[[#This Row],[Precio]]*Inventario16[[#This Row],[Existencia]]</f>
        <v>0</v>
      </c>
      <c r="I7" s="1"/>
      <c r="J7" s="9"/>
    </row>
    <row r="8" spans="1:12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IF(Inventario16[[#This Row],[Cantidad de unidades por bulto]]=0, 0, Inventario16[[#This Row],[Precio por bulto ($)]]/Inventario16[[#This Row],[Cantidad de unidades por bulto]])</f>
        <v>0.75</v>
      </c>
      <c r="G8" s="9">
        <f>Inventario16[[#This Row],[Precio]]*Inventario16[[#This Row],[Existencia]]</f>
        <v>0</v>
      </c>
      <c r="I8" s="1"/>
      <c r="J8" s="9"/>
    </row>
    <row r="9" spans="1:12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IF(Inventario16[[#This Row],[Cantidad de unidades por bulto]]=0, 0, Inventario16[[#This Row],[Precio por bulto ($)]]/Inventario16[[#This Row],[Cantidad de unidades por bulto]])</f>
        <v>0.75</v>
      </c>
      <c r="G9" s="9">
        <f>Inventario16[[#This Row],[Precio]]*Inventario16[[#This Row],[Existencia]]</f>
        <v>0</v>
      </c>
      <c r="I9" s="1"/>
      <c r="J9" s="9"/>
    </row>
    <row r="10" spans="1:12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IF(Inventario16[[#This Row],[Cantidad de unidades por bulto]]=0, 0, Inventario16[[#This Row],[Precio por bulto ($)]]/Inventario16[[#This Row],[Cantidad de unidades por bulto]])</f>
        <v>1.25</v>
      </c>
      <c r="G10" s="9">
        <f>Inventario16[[#This Row],[Precio]]*Inventario16[[#This Row],[Existencia]]</f>
        <v>0</v>
      </c>
      <c r="I10" s="1"/>
      <c r="J10" s="9"/>
    </row>
    <row r="11" spans="1:12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IF(Inventario16[[#This Row],[Cantidad de unidades por bulto]]=0, 0, Inventario16[[#This Row],[Precio por bulto ($)]]/Inventario16[[#This Row],[Cantidad de unidades por bulto]])</f>
        <v>11</v>
      </c>
      <c r="G11" s="9">
        <f>Inventario16[[#This Row],[Precio]]*Inventario16[[#This Row],[Existencia]]</f>
        <v>0</v>
      </c>
      <c r="I11" s="1"/>
      <c r="J11" s="9"/>
    </row>
    <row r="12" spans="1:12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IF(Inventario16[[#This Row],[Cantidad de unidades por bulto]]=0, 0, Inventario16[[#This Row],[Precio por bulto ($)]]/Inventario16[[#This Row],[Cantidad de unidades por bulto]])</f>
        <v>11</v>
      </c>
      <c r="G12" s="9">
        <f>Inventario16[[#This Row],[Precio]]*Inventario16[[#This Row],[Existencia]]</f>
        <v>0</v>
      </c>
      <c r="I12" s="1"/>
      <c r="J12" s="9"/>
      <c r="L12" s="3">
        <v>0</v>
      </c>
    </row>
    <row r="13" spans="1:12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IF(Inventario16[[#This Row],[Cantidad de unidades por bulto]]=0, 0, Inventario16[[#This Row],[Precio por bulto ($)]]/Inventario16[[#This Row],[Cantidad de unidades por bulto]])</f>
        <v>1.25</v>
      </c>
      <c r="G13" s="9">
        <f>Inventario16[[#This Row],[Precio]]*Inventario16[[#This Row],[Existencia]]</f>
        <v>0</v>
      </c>
      <c r="H13" s="4"/>
      <c r="L13" s="3">
        <v>0</v>
      </c>
    </row>
    <row r="14" spans="1:12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IF(Inventario16[[#This Row],[Cantidad de unidades por bulto]]=0, 0, Inventario16[[#This Row],[Precio por bulto ($)]]/Inventario16[[#This Row],[Cantidad de unidades por bulto]])</f>
        <v>1.125</v>
      </c>
      <c r="G14" s="9">
        <f>Inventario16[[#This Row],[Precio]]*Inventario16[[#This Row],[Existencia]]</f>
        <v>0</v>
      </c>
      <c r="L14" s="3">
        <v>0</v>
      </c>
    </row>
    <row r="15" spans="1:12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IF(Inventario16[[#This Row],[Cantidad de unidades por bulto]]=0, 0, Inventario16[[#This Row],[Precio por bulto ($)]]/Inventario16[[#This Row],[Cantidad de unidades por bulto]])</f>
        <v>0.69916666666666671</v>
      </c>
      <c r="G15" s="9">
        <f>Inventario16[[#This Row],[Precio]]*Inventario16[[#This Row],[Existencia]]</f>
        <v>0</v>
      </c>
      <c r="L15" s="3">
        <v>0</v>
      </c>
    </row>
    <row r="16" spans="1:12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IF(Inventario16[[#This Row],[Cantidad de unidades por bulto]]=0, 0, Inventario16[[#This Row],[Precio por bulto ($)]]/Inventario16[[#This Row],[Cantidad de unidades por bulto]])</f>
        <v>1.125</v>
      </c>
      <c r="G16" s="9">
        <f>Inventario16[[#This Row],[Precio]]*Inventario16[[#This Row],[Existencia]]</f>
        <v>0</v>
      </c>
      <c r="L16" s="3">
        <v>0</v>
      </c>
    </row>
    <row r="17" spans="1:13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IF(Inventario16[[#This Row],[Cantidad de unidades por bulto]]=0, 0, Inventario16[[#This Row],[Precio por bulto ($)]]/Inventario16[[#This Row],[Cantidad de unidades por bulto]])</f>
        <v>1.125</v>
      </c>
      <c r="G17" s="9">
        <f>Inventario16[[#This Row],[Precio]]*Inventario16[[#This Row],[Existencia]]</f>
        <v>0</v>
      </c>
      <c r="L17" s="3">
        <v>0</v>
      </c>
    </row>
    <row r="18" spans="1:13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IF(Inventario16[[#This Row],[Cantidad de unidades por bulto]]=0, 0, Inventario16[[#This Row],[Precio por bulto ($)]]/Inventario16[[#This Row],[Cantidad de unidades por bulto]])</f>
        <v>0.63461538461538458</v>
      </c>
      <c r="G18" s="9">
        <f>Inventario16[[#This Row],[Precio]]*Inventario16[[#This Row],[Existencia]]</f>
        <v>0</v>
      </c>
      <c r="L18" s="3">
        <v>0</v>
      </c>
    </row>
    <row r="19" spans="1:13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IF(Inventario16[[#This Row],[Cantidad de unidades por bulto]]=0, 0, Inventario16[[#This Row],[Precio por bulto ($)]]/Inventario16[[#This Row],[Cantidad de unidades por bulto]])</f>
        <v>0.10416666666666667</v>
      </c>
      <c r="G19" s="9">
        <f>Inventario16[[#This Row],[Precio]]*Inventario16[[#This Row],[Existencia]]</f>
        <v>0</v>
      </c>
      <c r="L19" s="3">
        <v>0</v>
      </c>
    </row>
    <row r="20" spans="1:13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IF(Inventario16[[#This Row],[Cantidad de unidades por bulto]]=0, 0, Inventario16[[#This Row],[Precio por bulto ($)]]/Inventario16[[#This Row],[Cantidad de unidades por bulto]])</f>
        <v>2.6</v>
      </c>
      <c r="G20" s="9">
        <f>Inventario16[[#This Row],[Precio]]*Inventario16[[#This Row],[Existencia]]</f>
        <v>0</v>
      </c>
      <c r="L20" s="3">
        <v>0</v>
      </c>
    </row>
    <row r="21" spans="1:13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IF(Inventario16[[#This Row],[Cantidad de unidades por bulto]]=0, 0, Inventario16[[#This Row],[Precio por bulto ($)]]/Inventario16[[#This Row],[Cantidad de unidades por bulto]])</f>
        <v>0.9</v>
      </c>
      <c r="G21" s="9">
        <f>Inventario16[[#This Row],[Precio]]*Inventario16[[#This Row],[Existencia]]</f>
        <v>0</v>
      </c>
      <c r="L21" s="3">
        <v>0</v>
      </c>
    </row>
    <row r="22" spans="1:13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IF(Inventario16[[#This Row],[Cantidad de unidades por bulto]]=0, 0, Inventario16[[#This Row],[Precio por bulto ($)]]/Inventario16[[#This Row],[Cantidad de unidades por bulto]])</f>
        <v>45</v>
      </c>
      <c r="G22" s="9">
        <f>Inventario16[[#This Row],[Precio]]*Inventario16[[#This Row],[Existencia]]</f>
        <v>0</v>
      </c>
      <c r="L22" s="3">
        <v>0</v>
      </c>
    </row>
    <row r="23" spans="1:13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IF(Inventario16[[#This Row],[Cantidad de unidades por bulto]]=0, 0, Inventario16[[#This Row],[Precio por bulto ($)]]/Inventario16[[#This Row],[Cantidad de unidades por bulto]])</f>
        <v>1.6</v>
      </c>
      <c r="G23" s="9">
        <f>Inventario16[[#This Row],[Precio]]*Inventario16[[#This Row],[Existencia]]</f>
        <v>0</v>
      </c>
      <c r="L23" s="3">
        <v>0</v>
      </c>
    </row>
    <row r="24" spans="1:13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IF(Inventario16[[#This Row],[Cantidad de unidades por bulto]]=0, 0, Inventario16[[#This Row],[Precio por bulto ($)]]/Inventario16[[#This Row],[Cantidad de unidades por bulto]])</f>
        <v>0.22</v>
      </c>
      <c r="G24" s="9">
        <f>Inventario16[[#This Row],[Precio]]*Inventario16[[#This Row],[Existencia]]</f>
        <v>0</v>
      </c>
      <c r="L24" s="3">
        <v>0</v>
      </c>
    </row>
    <row r="25" spans="1:13" x14ac:dyDescent="0.3">
      <c r="A25" s="1">
        <v>17</v>
      </c>
      <c r="B25" s="2" t="s">
        <v>24</v>
      </c>
      <c r="C25" s="11">
        <v>2</v>
      </c>
      <c r="D25" s="4">
        <v>12</v>
      </c>
      <c r="E25" s="5">
        <v>4.22</v>
      </c>
      <c r="F25" s="6">
        <f>IF(Inventario16[[#This Row],[Cantidad de unidades por bulto]]=0, 0, Inventario16[[#This Row],[Precio por bulto ($)]]/Inventario16[[#This Row],[Cantidad de unidades por bulto]])</f>
        <v>0.35166666666666663</v>
      </c>
      <c r="G25" s="9">
        <f>Inventario16[[#This Row],[Precio]]*Inventario16[[#This Row],[Existencia]]</f>
        <v>0.70333333333333325</v>
      </c>
      <c r="L25" s="3">
        <v>0</v>
      </c>
    </row>
    <row r="26" spans="1:13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IF(Inventario16[[#This Row],[Cantidad de unidades por bulto]]=0, 0, Inventario16[[#This Row],[Precio por bulto ($)]]/Inventario16[[#This Row],[Cantidad de unidades por bulto]])</f>
        <v>1.8</v>
      </c>
      <c r="G26" s="9">
        <f>Inventario16[[#This Row],[Precio]]*Inventario16[[#This Row],[Existencia]]</f>
        <v>0</v>
      </c>
      <c r="L26" s="3">
        <v>0</v>
      </c>
    </row>
    <row r="27" spans="1:13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IF(Inventario16[[#This Row],[Cantidad de unidades por bulto]]=0, 0, Inventario16[[#This Row],[Precio por bulto ($)]]/Inventario16[[#This Row],[Cantidad de unidades por bulto]])</f>
        <v>3.625</v>
      </c>
      <c r="G27" s="9">
        <f>Inventario16[[#This Row],[Precio]]*Inventario16[[#This Row],[Existencia]]</f>
        <v>0</v>
      </c>
      <c r="L27" s="3">
        <v>0</v>
      </c>
    </row>
    <row r="28" spans="1:13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IF(Inventario16[[#This Row],[Cantidad de unidades por bulto]]=0, 0, Inventario16[[#This Row],[Precio por bulto ($)]]/Inventario16[[#This Row],[Cantidad de unidades por bulto]])</f>
        <v>0.52083333333333337</v>
      </c>
      <c r="G28" s="9">
        <f>Inventario16[[#This Row],[Precio]]*Inventario16[[#This Row],[Existencia]]</f>
        <v>0</v>
      </c>
      <c r="L28" s="3">
        <v>0</v>
      </c>
    </row>
    <row r="29" spans="1:13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IF(Inventario16[[#This Row],[Cantidad de unidades por bulto]]=0, 0, Inventario16[[#This Row],[Precio por bulto ($)]]/Inventario16[[#This Row],[Cantidad de unidades por bulto]])</f>
        <v>29</v>
      </c>
      <c r="G29" s="9">
        <f>Inventario16[[#This Row],[Precio]]*Inventario16[[#This Row],[Existencia]]</f>
        <v>0</v>
      </c>
      <c r="L29" s="3">
        <v>10</v>
      </c>
      <c r="M29" s="3" t="s">
        <v>41</v>
      </c>
    </row>
    <row r="30" spans="1:13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IF(Inventario16[[#This Row],[Cantidad de unidades por bulto]]=0, 0, Inventario16[[#This Row],[Precio por bulto ($)]]/Inventario16[[#This Row],[Cantidad de unidades por bulto]])</f>
        <v>0.52083333333333337</v>
      </c>
      <c r="G30" s="9">
        <f>Inventario16[[#This Row],[Precio]]*Inventario16[[#This Row],[Existencia]]</f>
        <v>0</v>
      </c>
      <c r="L30" s="3">
        <v>0</v>
      </c>
    </row>
    <row r="31" spans="1:13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IF(Inventario16[[#This Row],[Cantidad de unidades por bulto]]=0, 0, Inventario16[[#This Row],[Precio por bulto ($)]]/Inventario16[[#This Row],[Cantidad de unidades por bulto]])</f>
        <v>0.375</v>
      </c>
      <c r="G31" s="9">
        <f>Inventario16[[#This Row],[Precio]]*Inventario16[[#This Row],[Existencia]]</f>
        <v>0</v>
      </c>
      <c r="L31" s="3">
        <v>0</v>
      </c>
    </row>
    <row r="32" spans="1:13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IF(Inventario16[[#This Row],[Cantidad de unidades por bulto]]=0, 0, Inventario16[[#This Row],[Precio por bulto ($)]]/Inventario16[[#This Row],[Cantidad de unidades por bulto]])</f>
        <v>7.05</v>
      </c>
      <c r="G32" s="9">
        <f>Inventario16[[#This Row],[Precio]]*Inventario16[[#This Row],[Existencia]]</f>
        <v>0</v>
      </c>
      <c r="L32" s="3">
        <v>0</v>
      </c>
    </row>
    <row r="33" spans="1:12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IF(Inventario16[[#This Row],[Cantidad de unidades por bulto]]=0, 0, Inventario16[[#This Row],[Precio por bulto ($)]]/Inventario16[[#This Row],[Cantidad de unidades por bulto]])</f>
        <v>7.05</v>
      </c>
      <c r="G33" s="9">
        <f>Inventario16[[#This Row],[Precio]]*Inventario16[[#This Row],[Existencia]]</f>
        <v>0</v>
      </c>
      <c r="L33" s="3">
        <v>0</v>
      </c>
    </row>
    <row r="34" spans="1:12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IF(Inventario16[[#This Row],[Cantidad de unidades por bulto]]=0, 0, Inventario16[[#This Row],[Precio por bulto ($)]]/Inventario16[[#This Row],[Cantidad de unidades por bulto]])</f>
        <v>7.05</v>
      </c>
      <c r="G34" s="9">
        <f>Inventario16[[#This Row],[Precio]]*Inventario16[[#This Row],[Existencia]]</f>
        <v>0</v>
      </c>
      <c r="L34" s="3">
        <v>0</v>
      </c>
    </row>
    <row r="35" spans="1:12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IF(Inventario16[[#This Row],[Cantidad de unidades por bulto]]=0, 0, Inventario16[[#This Row],[Precio por bulto ($)]]/Inventario16[[#This Row],[Cantidad de unidades por bulto]])</f>
        <v>1.95</v>
      </c>
      <c r="G35" s="9">
        <f>Inventario16[[#This Row],[Precio]]*Inventario16[[#This Row],[Existencia]]</f>
        <v>0</v>
      </c>
      <c r="L35" s="3">
        <v>0</v>
      </c>
    </row>
    <row r="36" spans="1:12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IF(Inventario16[[#This Row],[Cantidad de unidades por bulto]]=0, 0, Inventario16[[#This Row],[Precio por bulto ($)]]/Inventario16[[#This Row],[Cantidad de unidades por bulto]])</f>
        <v>0.3</v>
      </c>
      <c r="G36" s="9">
        <f>Inventario16[[#This Row],[Precio]]*Inventario16[[#This Row],[Existencia]]</f>
        <v>0</v>
      </c>
      <c r="L36" s="3">
        <v>0</v>
      </c>
    </row>
    <row r="37" spans="1:12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IF(Inventario16[[#This Row],[Cantidad de unidades por bulto]]=0, 0, Inventario16[[#This Row],[Precio por bulto ($)]]/Inventario16[[#This Row],[Cantidad de unidades por bulto]])</f>
        <v>13.5</v>
      </c>
      <c r="G37" s="9">
        <f>Inventario16[[#This Row],[Precio]]*Inventario16[[#This Row],[Existencia]]</f>
        <v>0</v>
      </c>
      <c r="L37" s="3">
        <v>0</v>
      </c>
    </row>
    <row r="38" spans="1:12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IF(Inventario16[[#This Row],[Cantidad de unidades por bulto]]=0, 0, Inventario16[[#This Row],[Precio por bulto ($)]]/Inventario16[[#This Row],[Cantidad de unidades por bulto]])</f>
        <v>11</v>
      </c>
      <c r="G38" s="9">
        <f>Inventario16[[#This Row],[Precio]]*Inventario16[[#This Row],[Existencia]]</f>
        <v>0</v>
      </c>
      <c r="L38" s="3">
        <v>0</v>
      </c>
    </row>
    <row r="39" spans="1:12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IF(Inventario16[[#This Row],[Cantidad de unidades por bulto]]=0, 0, Inventario16[[#This Row],[Precio por bulto ($)]]/Inventario16[[#This Row],[Cantidad de unidades por bulto]])</f>
        <v>0.5625</v>
      </c>
      <c r="G39" s="9">
        <f>Inventario16[[#This Row],[Precio]]*Inventario16[[#This Row],[Existencia]]</f>
        <v>0</v>
      </c>
      <c r="L39" s="3">
        <v>0</v>
      </c>
    </row>
    <row r="40" spans="1:12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IF(Inventario16[[#This Row],[Cantidad de unidades por bulto]]=0, 0, Inventario16[[#This Row],[Precio por bulto ($)]]/Inventario16[[#This Row],[Cantidad de unidades por bulto]])</f>
        <v>2</v>
      </c>
      <c r="G40" s="9">
        <f>Inventario16[[#This Row],[Precio]]*Inventario16[[#This Row],[Existencia]]</f>
        <v>0</v>
      </c>
      <c r="L40" s="3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C71C5-3749-49E7-8C0E-AA685C23CD7E}">
  <sheetPr codeName="Hoja15"/>
  <dimension ref="A1:L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1" width="11.44140625" style="3"/>
    <col min="12" max="12" width="6.33203125" style="3" bestFit="1" customWidth="1"/>
    <col min="13" max="16384" width="11.44140625" style="3"/>
  </cols>
  <sheetData>
    <row r="1" spans="1:12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SUM(Inventario15[Importe])</f>
        <v>84.890641025641017</v>
      </c>
      <c r="L1" s="1" t="s">
        <v>36</v>
      </c>
    </row>
    <row r="2" spans="1:12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IF(Inventario15[[#This Row],[Cantidad de unidades por bulto]]=0, 0, Inventario15[[#This Row],[Precio por bulto ($)]]/Inventario15[[#This Row],[Cantidad de unidades por bulto]])</f>
        <v>1.25</v>
      </c>
      <c r="G2" s="9">
        <f>Inventario15[[#This Row],[Precio]]*Inventario15[[#This Row],[Existencia]]</f>
        <v>0</v>
      </c>
      <c r="I2" s="1"/>
      <c r="J2" s="9"/>
      <c r="L2" s="1"/>
    </row>
    <row r="3" spans="1:12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IF(Inventario15[[#This Row],[Cantidad de unidades por bulto]]=0, 0, Inventario15[[#This Row],[Precio por bulto ($)]]/Inventario15[[#This Row],[Cantidad de unidades por bulto]])</f>
        <v>1.2250000000000001</v>
      </c>
      <c r="G3" s="9">
        <f>Inventario15[[#This Row],[Precio]]*Inventario15[[#This Row],[Existencia]]</f>
        <v>0</v>
      </c>
      <c r="I3" s="1"/>
      <c r="J3" s="9"/>
      <c r="L3" s="1"/>
    </row>
    <row r="4" spans="1:12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IF(Inventario15[[#This Row],[Cantidad de unidades por bulto]]=0, 0, Inventario15[[#This Row],[Precio por bulto ($)]]/Inventario15[[#This Row],[Cantidad de unidades por bulto]])</f>
        <v>0.81</v>
      </c>
      <c r="G4" s="9">
        <f>Inventario15[[#This Row],[Precio]]*Inventario15[[#This Row],[Existencia]]</f>
        <v>0</v>
      </c>
      <c r="I4" s="1"/>
      <c r="J4" s="9"/>
      <c r="L4" s="1"/>
    </row>
    <row r="5" spans="1:12" x14ac:dyDescent="0.3">
      <c r="A5" s="1">
        <v>3</v>
      </c>
      <c r="B5" s="2" t="s">
        <v>10</v>
      </c>
      <c r="C5" s="11"/>
      <c r="D5" s="4">
        <v>30</v>
      </c>
      <c r="E5" s="5">
        <v>24</v>
      </c>
      <c r="F5" s="6">
        <f>IF(Inventario15[[#This Row],[Cantidad de unidades por bulto]]=0, 0, Inventario15[[#This Row],[Precio por bulto ($)]]/Inventario15[[#This Row],[Cantidad de unidades por bulto]])</f>
        <v>0.8</v>
      </c>
      <c r="G5" s="9">
        <f>Inventario15[[#This Row],[Precio]]*Inventario15[[#This Row],[Existencia]]</f>
        <v>0</v>
      </c>
      <c r="I5" s="1"/>
      <c r="J5" s="9"/>
      <c r="L5" s="1"/>
    </row>
    <row r="6" spans="1:12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IF(Inventario15[[#This Row],[Cantidad de unidades por bulto]]=0, 0, Inventario15[[#This Row],[Precio por bulto ($)]]/Inventario15[[#This Row],[Cantidad de unidades por bulto]])</f>
        <v>0.81</v>
      </c>
      <c r="G6" s="9">
        <f>Inventario15[[#This Row],[Precio]]*Inventario15[[#This Row],[Existencia]]</f>
        <v>0</v>
      </c>
      <c r="I6" s="1"/>
      <c r="J6" s="9"/>
      <c r="L6" s="1"/>
    </row>
    <row r="7" spans="1:12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IF(Inventario15[[#This Row],[Cantidad de unidades por bulto]]=0, 0, Inventario15[[#This Row],[Precio por bulto ($)]]/Inventario15[[#This Row],[Cantidad de unidades por bulto]])</f>
        <v>0.8773333333333333</v>
      </c>
      <c r="G7" s="9">
        <f>Inventario15[[#This Row],[Precio]]*Inventario15[[#This Row],[Existencia]]</f>
        <v>0</v>
      </c>
      <c r="I7" s="1"/>
      <c r="J7" s="9"/>
      <c r="L7" s="1"/>
    </row>
    <row r="8" spans="1:12" x14ac:dyDescent="0.3">
      <c r="A8" s="1">
        <v>6</v>
      </c>
      <c r="B8" s="2" t="s">
        <v>13</v>
      </c>
      <c r="C8" s="11">
        <v>9</v>
      </c>
      <c r="D8" s="4">
        <v>30</v>
      </c>
      <c r="E8" s="5">
        <v>22.5</v>
      </c>
      <c r="F8" s="6">
        <f>IF(Inventario15[[#This Row],[Cantidad de unidades por bulto]]=0, 0, Inventario15[[#This Row],[Precio por bulto ($)]]/Inventario15[[#This Row],[Cantidad de unidades por bulto]])</f>
        <v>0.75</v>
      </c>
      <c r="G8" s="9">
        <f>Inventario15[[#This Row],[Precio]]*Inventario15[[#This Row],[Existencia]]</f>
        <v>6.75</v>
      </c>
      <c r="I8" s="1"/>
      <c r="J8" s="9"/>
      <c r="L8" s="1"/>
    </row>
    <row r="9" spans="1:12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IF(Inventario15[[#This Row],[Cantidad de unidades por bulto]]=0, 0, Inventario15[[#This Row],[Precio por bulto ($)]]/Inventario15[[#This Row],[Cantidad de unidades por bulto]])</f>
        <v>0.75</v>
      </c>
      <c r="G9" s="9">
        <f>Inventario15[[#This Row],[Precio]]*Inventario15[[#This Row],[Existencia]]</f>
        <v>0</v>
      </c>
      <c r="I9" s="1"/>
      <c r="J9" s="9"/>
      <c r="L9" s="1"/>
    </row>
    <row r="10" spans="1:12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IF(Inventario15[[#This Row],[Cantidad de unidades por bulto]]=0, 0, Inventario15[[#This Row],[Precio por bulto ($)]]/Inventario15[[#This Row],[Cantidad de unidades por bulto]])</f>
        <v>1.25</v>
      </c>
      <c r="G10" s="9">
        <f>Inventario15[[#This Row],[Precio]]*Inventario15[[#This Row],[Existencia]]</f>
        <v>0</v>
      </c>
      <c r="I10" s="1"/>
      <c r="J10" s="9"/>
      <c r="L10" s="1"/>
    </row>
    <row r="11" spans="1:12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IF(Inventario15[[#This Row],[Cantidad de unidades por bulto]]=0, 0, Inventario15[[#This Row],[Precio por bulto ($)]]/Inventario15[[#This Row],[Cantidad de unidades por bulto]])</f>
        <v>11</v>
      </c>
      <c r="G11" s="9">
        <f>Inventario15[[#This Row],[Precio]]*Inventario15[[#This Row],[Existencia]]</f>
        <v>0</v>
      </c>
      <c r="I11" s="1"/>
      <c r="J11" s="9"/>
      <c r="L11" s="1"/>
    </row>
    <row r="12" spans="1:12" x14ac:dyDescent="0.3">
      <c r="A12" s="15">
        <v>32</v>
      </c>
      <c r="B12" s="2" t="s">
        <v>46</v>
      </c>
      <c r="C12" s="11">
        <v>3</v>
      </c>
      <c r="D12" s="4">
        <v>1</v>
      </c>
      <c r="E12" s="14">
        <v>11</v>
      </c>
      <c r="F12" s="6">
        <f>IF(Inventario15[[#This Row],[Cantidad de unidades por bulto]]=0, 0, Inventario15[[#This Row],[Precio por bulto ($)]]/Inventario15[[#This Row],[Cantidad de unidades por bulto]])</f>
        <v>11</v>
      </c>
      <c r="G12" s="9">
        <f>Inventario15[[#This Row],[Precio]]*Inventario15[[#This Row],[Existencia]]</f>
        <v>33</v>
      </c>
      <c r="I12" s="1"/>
      <c r="J12" s="9"/>
      <c r="L12" s="1"/>
    </row>
    <row r="13" spans="1:12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IF(Inventario15[[#This Row],[Cantidad de unidades por bulto]]=0, 0, Inventario15[[#This Row],[Precio por bulto ($)]]/Inventario15[[#This Row],[Cantidad de unidades por bulto]])</f>
        <v>1.25</v>
      </c>
      <c r="G13" s="9">
        <f>Inventario15[[#This Row],[Precio]]*Inventario15[[#This Row],[Existencia]]</f>
        <v>0</v>
      </c>
      <c r="H13" s="4"/>
      <c r="L13" s="3">
        <v>0</v>
      </c>
    </row>
    <row r="14" spans="1:12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IF(Inventario15[[#This Row],[Cantidad de unidades por bulto]]=0, 0, Inventario15[[#This Row],[Precio por bulto ($)]]/Inventario15[[#This Row],[Cantidad de unidades por bulto]])</f>
        <v>1.125</v>
      </c>
      <c r="G14" s="9">
        <f>Inventario15[[#This Row],[Precio]]*Inventario15[[#This Row],[Existencia]]</f>
        <v>0</v>
      </c>
      <c r="L14" s="3">
        <v>0</v>
      </c>
    </row>
    <row r="15" spans="1:12" x14ac:dyDescent="0.3">
      <c r="A15" s="1">
        <v>10</v>
      </c>
      <c r="B15" s="2" t="s">
        <v>17</v>
      </c>
      <c r="C15" s="11"/>
      <c r="D15" s="4">
        <v>12</v>
      </c>
      <c r="E15" s="5">
        <v>8.39</v>
      </c>
      <c r="F15" s="6">
        <f>IF(Inventario15[[#This Row],[Cantidad de unidades por bulto]]=0, 0, Inventario15[[#This Row],[Precio por bulto ($)]]/Inventario15[[#This Row],[Cantidad de unidades por bulto]])</f>
        <v>0.69916666666666671</v>
      </c>
      <c r="G15" s="9">
        <f>Inventario15[[#This Row],[Precio]]*Inventario15[[#This Row],[Existencia]]</f>
        <v>0</v>
      </c>
      <c r="L15" s="3">
        <v>0</v>
      </c>
    </row>
    <row r="16" spans="1:12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IF(Inventario15[[#This Row],[Cantidad de unidades por bulto]]=0, 0, Inventario15[[#This Row],[Precio por bulto ($)]]/Inventario15[[#This Row],[Cantidad de unidades por bulto]])</f>
        <v>1.125</v>
      </c>
      <c r="G16" s="9">
        <f>Inventario15[[#This Row],[Precio]]*Inventario15[[#This Row],[Existencia]]</f>
        <v>0</v>
      </c>
      <c r="L16" s="3">
        <v>25</v>
      </c>
    </row>
    <row r="17" spans="1:12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IF(Inventario15[[#This Row],[Cantidad de unidades por bulto]]=0, 0, Inventario15[[#This Row],[Precio por bulto ($)]]/Inventario15[[#This Row],[Cantidad de unidades por bulto]])</f>
        <v>1.125</v>
      </c>
      <c r="G17" s="9">
        <f>Inventario15[[#This Row],[Precio]]*Inventario15[[#This Row],[Existencia]]</f>
        <v>0</v>
      </c>
      <c r="L17" s="3">
        <v>0</v>
      </c>
    </row>
    <row r="18" spans="1:12" x14ac:dyDescent="0.3">
      <c r="A18" s="1">
        <v>11</v>
      </c>
      <c r="B18" s="2" t="s">
        <v>18</v>
      </c>
      <c r="C18" s="11">
        <v>7</v>
      </c>
      <c r="D18" s="4">
        <v>26</v>
      </c>
      <c r="E18" s="5">
        <v>16.5</v>
      </c>
      <c r="F18" s="6">
        <f>IF(Inventario15[[#This Row],[Cantidad de unidades por bulto]]=0, 0, Inventario15[[#This Row],[Precio por bulto ($)]]/Inventario15[[#This Row],[Cantidad de unidades por bulto]])</f>
        <v>0.63461538461538458</v>
      </c>
      <c r="G18" s="9">
        <f>Inventario15[[#This Row],[Precio]]*Inventario15[[#This Row],[Existencia]]</f>
        <v>4.4423076923076916</v>
      </c>
      <c r="L18" s="3">
        <v>0</v>
      </c>
    </row>
    <row r="19" spans="1:12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IF(Inventario15[[#This Row],[Cantidad de unidades por bulto]]=0, 0, Inventario15[[#This Row],[Precio por bulto ($)]]/Inventario15[[#This Row],[Cantidad de unidades por bulto]])</f>
        <v>0.10416666666666667</v>
      </c>
      <c r="G19" s="9">
        <f>Inventario15[[#This Row],[Precio]]*Inventario15[[#This Row],[Existencia]]</f>
        <v>0</v>
      </c>
      <c r="L19" s="3">
        <v>0</v>
      </c>
    </row>
    <row r="20" spans="1:12" x14ac:dyDescent="0.3">
      <c r="A20" s="1">
        <v>13</v>
      </c>
      <c r="B20" s="10" t="s">
        <v>20</v>
      </c>
      <c r="C20" s="11">
        <v>3</v>
      </c>
      <c r="D20" s="4">
        <v>30</v>
      </c>
      <c r="E20" s="5">
        <v>78</v>
      </c>
      <c r="F20" s="6">
        <f>IF(Inventario15[[#This Row],[Cantidad de unidades por bulto]]=0, 0, Inventario15[[#This Row],[Precio por bulto ($)]]/Inventario15[[#This Row],[Cantidad de unidades por bulto]])</f>
        <v>2.6</v>
      </c>
      <c r="G20" s="9">
        <f>Inventario15[[#This Row],[Precio]]*Inventario15[[#This Row],[Existencia]]</f>
        <v>7.8000000000000007</v>
      </c>
      <c r="L20" s="3">
        <v>0</v>
      </c>
    </row>
    <row r="21" spans="1:12" x14ac:dyDescent="0.3">
      <c r="A21" s="1">
        <v>14</v>
      </c>
      <c r="B21" s="2" t="s">
        <v>21</v>
      </c>
      <c r="C21" s="11">
        <v>2</v>
      </c>
      <c r="D21" s="4">
        <v>10</v>
      </c>
      <c r="E21" s="5">
        <v>9</v>
      </c>
      <c r="F21" s="6">
        <f>IF(Inventario15[[#This Row],[Cantidad de unidades por bulto]]=0, 0, Inventario15[[#This Row],[Precio por bulto ($)]]/Inventario15[[#This Row],[Cantidad de unidades por bulto]])</f>
        <v>0.9</v>
      </c>
      <c r="G21" s="9">
        <f>Inventario15[[#This Row],[Precio]]*Inventario15[[#This Row],[Existencia]]</f>
        <v>1.8</v>
      </c>
      <c r="L21" s="3">
        <v>3</v>
      </c>
    </row>
    <row r="22" spans="1:12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IF(Inventario15[[#This Row],[Cantidad de unidades por bulto]]=0, 0, Inventario15[[#This Row],[Precio por bulto ($)]]/Inventario15[[#This Row],[Cantidad de unidades por bulto]])</f>
        <v>45</v>
      </c>
      <c r="G22" s="9">
        <f>Inventario15[[#This Row],[Precio]]*Inventario15[[#This Row],[Existencia]]</f>
        <v>0</v>
      </c>
      <c r="L22" s="3">
        <v>0</v>
      </c>
    </row>
    <row r="23" spans="1:12" x14ac:dyDescent="0.3">
      <c r="A23" s="1">
        <v>16</v>
      </c>
      <c r="B23" s="2" t="s">
        <v>23</v>
      </c>
      <c r="C23" s="11">
        <v>1</v>
      </c>
      <c r="D23" s="4">
        <v>10</v>
      </c>
      <c r="E23" s="5">
        <v>16</v>
      </c>
      <c r="F23" s="6">
        <f>IF(Inventario15[[#This Row],[Cantidad de unidades por bulto]]=0, 0, Inventario15[[#This Row],[Precio por bulto ($)]]/Inventario15[[#This Row],[Cantidad de unidades por bulto]])</f>
        <v>1.6</v>
      </c>
      <c r="G23" s="9">
        <f>Inventario15[[#This Row],[Precio]]*Inventario15[[#This Row],[Existencia]]</f>
        <v>1.6</v>
      </c>
      <c r="L23" s="3">
        <v>0</v>
      </c>
    </row>
    <row r="24" spans="1:12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IF(Inventario15[[#This Row],[Cantidad de unidades por bulto]]=0, 0, Inventario15[[#This Row],[Precio por bulto ($)]]/Inventario15[[#This Row],[Cantidad de unidades por bulto]])</f>
        <v>0.22</v>
      </c>
      <c r="G24" s="9">
        <f>Inventario15[[#This Row],[Precio]]*Inventario15[[#This Row],[Existencia]]</f>
        <v>0</v>
      </c>
      <c r="L24" s="3">
        <v>120</v>
      </c>
    </row>
    <row r="25" spans="1:12" x14ac:dyDescent="0.3">
      <c r="A25" s="1">
        <v>17</v>
      </c>
      <c r="B25" s="2" t="s">
        <v>24</v>
      </c>
      <c r="C25" s="11">
        <v>4</v>
      </c>
      <c r="D25" s="4">
        <v>12</v>
      </c>
      <c r="E25" s="5">
        <v>4.22</v>
      </c>
      <c r="F25" s="6">
        <f>IF(Inventario15[[#This Row],[Cantidad de unidades por bulto]]=0, 0, Inventario15[[#This Row],[Precio por bulto ($)]]/Inventario15[[#This Row],[Cantidad de unidades por bulto]])</f>
        <v>0.35166666666666663</v>
      </c>
      <c r="G25" s="9">
        <f>Inventario15[[#This Row],[Precio]]*Inventario15[[#This Row],[Existencia]]</f>
        <v>1.4066666666666665</v>
      </c>
      <c r="L25" s="3">
        <v>0</v>
      </c>
    </row>
    <row r="26" spans="1:12" x14ac:dyDescent="0.3">
      <c r="A26" s="1">
        <v>18</v>
      </c>
      <c r="B26" s="2" t="s">
        <v>25</v>
      </c>
      <c r="C26" s="11">
        <v>1</v>
      </c>
      <c r="D26" s="4">
        <v>25</v>
      </c>
      <c r="E26" s="5">
        <v>45</v>
      </c>
      <c r="F26" s="6">
        <f>IF(Inventario15[[#This Row],[Cantidad de unidades por bulto]]=0, 0, Inventario15[[#This Row],[Precio por bulto ($)]]/Inventario15[[#This Row],[Cantidad de unidades por bulto]])</f>
        <v>1.8</v>
      </c>
      <c r="G26" s="9">
        <f>Inventario15[[#This Row],[Precio]]*Inventario15[[#This Row],[Existencia]]</f>
        <v>1.8</v>
      </c>
      <c r="L26" s="3">
        <v>0</v>
      </c>
    </row>
    <row r="27" spans="1:12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IF(Inventario15[[#This Row],[Cantidad de unidades por bulto]]=0, 0, Inventario15[[#This Row],[Precio por bulto ($)]]/Inventario15[[#This Row],[Cantidad de unidades por bulto]])</f>
        <v>3.625</v>
      </c>
      <c r="G27" s="9">
        <f>Inventario15[[#This Row],[Precio]]*Inventario15[[#This Row],[Existencia]]</f>
        <v>0</v>
      </c>
      <c r="L27" s="3">
        <v>0</v>
      </c>
    </row>
    <row r="28" spans="1:12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IF(Inventario15[[#This Row],[Cantidad de unidades por bulto]]=0, 0, Inventario15[[#This Row],[Precio por bulto ($)]]/Inventario15[[#This Row],[Cantidad de unidades por bulto]])</f>
        <v>0.52083333333333337</v>
      </c>
      <c r="G28" s="9">
        <f>Inventario15[[#This Row],[Precio]]*Inventario15[[#This Row],[Existencia]]</f>
        <v>0</v>
      </c>
      <c r="L28" s="3">
        <v>1</v>
      </c>
    </row>
    <row r="29" spans="1:12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IF(Inventario15[[#This Row],[Cantidad de unidades por bulto]]=0, 0, Inventario15[[#This Row],[Precio por bulto ($)]]/Inventario15[[#This Row],[Cantidad de unidades por bulto]])</f>
        <v>29</v>
      </c>
      <c r="G29" s="9">
        <f>Inventario15[[#This Row],[Precio]]*Inventario15[[#This Row],[Existencia]]</f>
        <v>0</v>
      </c>
      <c r="L29" s="3">
        <v>14</v>
      </c>
    </row>
    <row r="30" spans="1:12" x14ac:dyDescent="0.3">
      <c r="A30" s="1">
        <v>21</v>
      </c>
      <c r="B30" s="2" t="s">
        <v>28</v>
      </c>
      <c r="C30" s="11">
        <v>5</v>
      </c>
      <c r="D30" s="4">
        <v>24</v>
      </c>
      <c r="E30" s="5">
        <v>12.5</v>
      </c>
      <c r="F30" s="6">
        <f>IF(Inventario15[[#This Row],[Cantidad de unidades por bulto]]=0, 0, Inventario15[[#This Row],[Precio por bulto ($)]]/Inventario15[[#This Row],[Cantidad de unidades por bulto]])</f>
        <v>0.52083333333333337</v>
      </c>
      <c r="G30" s="9">
        <f>Inventario15[[#This Row],[Precio]]*Inventario15[[#This Row],[Existencia]]</f>
        <v>2.604166666666667</v>
      </c>
      <c r="L30" s="3">
        <v>0</v>
      </c>
    </row>
    <row r="31" spans="1:12" x14ac:dyDescent="0.3">
      <c r="A31" s="15">
        <v>7896102509434</v>
      </c>
      <c r="B31" s="2" t="s">
        <v>40</v>
      </c>
      <c r="C31" s="16">
        <v>16</v>
      </c>
      <c r="D31" s="17">
        <v>24</v>
      </c>
      <c r="E31" s="14">
        <v>9</v>
      </c>
      <c r="F31" s="6">
        <f>IF(Inventario15[[#This Row],[Cantidad de unidades por bulto]]=0, 0, Inventario15[[#This Row],[Precio por bulto ($)]]/Inventario15[[#This Row],[Cantidad de unidades por bulto]])</f>
        <v>0.375</v>
      </c>
      <c r="G31" s="9">
        <f>Inventario15[[#This Row],[Precio]]*Inventario15[[#This Row],[Existencia]]</f>
        <v>6</v>
      </c>
      <c r="L31" s="3">
        <v>0</v>
      </c>
    </row>
    <row r="32" spans="1:12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IF(Inventario15[[#This Row],[Cantidad de unidades por bulto]]=0, 0, Inventario15[[#This Row],[Precio por bulto ($)]]/Inventario15[[#This Row],[Cantidad de unidades por bulto]])</f>
        <v>7.05</v>
      </c>
      <c r="G32" s="9">
        <f>Inventario15[[#This Row],[Precio]]*Inventario15[[#This Row],[Existencia]]</f>
        <v>0</v>
      </c>
      <c r="L32" s="3">
        <v>6</v>
      </c>
    </row>
    <row r="33" spans="1:12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IF(Inventario15[[#This Row],[Cantidad de unidades por bulto]]=0, 0, Inventario15[[#This Row],[Precio por bulto ($)]]/Inventario15[[#This Row],[Cantidad de unidades por bulto]])</f>
        <v>7.05</v>
      </c>
      <c r="G33" s="9">
        <f>Inventario15[[#This Row],[Precio]]*Inventario15[[#This Row],[Existencia]]</f>
        <v>0</v>
      </c>
      <c r="L33" s="3">
        <v>0</v>
      </c>
    </row>
    <row r="34" spans="1:12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IF(Inventario15[[#This Row],[Cantidad de unidades por bulto]]=0, 0, Inventario15[[#This Row],[Precio por bulto ($)]]/Inventario15[[#This Row],[Cantidad de unidades por bulto]])</f>
        <v>7.05</v>
      </c>
      <c r="G34" s="9">
        <f>Inventario15[[#This Row],[Precio]]*Inventario15[[#This Row],[Existencia]]</f>
        <v>0</v>
      </c>
      <c r="L34" s="3">
        <v>0</v>
      </c>
    </row>
    <row r="35" spans="1:12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IF(Inventario15[[#This Row],[Cantidad de unidades por bulto]]=0, 0, Inventario15[[#This Row],[Precio por bulto ($)]]/Inventario15[[#This Row],[Cantidad de unidades por bulto]])</f>
        <v>1.95</v>
      </c>
      <c r="G35" s="9">
        <f>Inventario15[[#This Row],[Precio]]*Inventario15[[#This Row],[Existencia]]</f>
        <v>0</v>
      </c>
      <c r="L35" s="3">
        <v>0</v>
      </c>
    </row>
    <row r="36" spans="1:12" x14ac:dyDescent="0.3">
      <c r="A36" s="1">
        <v>26</v>
      </c>
      <c r="B36" s="10" t="s">
        <v>33</v>
      </c>
      <c r="C36" s="11">
        <v>5</v>
      </c>
      <c r="D36" s="4">
        <v>30</v>
      </c>
      <c r="E36" s="5">
        <v>9</v>
      </c>
      <c r="F36" s="6">
        <f>IF(Inventario15[[#This Row],[Cantidad de unidades por bulto]]=0, 0, Inventario15[[#This Row],[Precio por bulto ($)]]/Inventario15[[#This Row],[Cantidad de unidades por bulto]])</f>
        <v>0.3</v>
      </c>
      <c r="G36" s="9">
        <f>Inventario15[[#This Row],[Precio]]*Inventario15[[#This Row],[Existencia]]</f>
        <v>1.5</v>
      </c>
      <c r="L36" s="3">
        <v>0</v>
      </c>
    </row>
    <row r="37" spans="1:12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IF(Inventario15[[#This Row],[Cantidad de unidades por bulto]]=0, 0, Inventario15[[#This Row],[Precio por bulto ($)]]/Inventario15[[#This Row],[Cantidad de unidades por bulto]])</f>
        <v>13.5</v>
      </c>
      <c r="G37" s="9">
        <f>Inventario15[[#This Row],[Precio]]*Inventario15[[#This Row],[Existencia]]</f>
        <v>0</v>
      </c>
      <c r="L37" s="3">
        <v>0</v>
      </c>
    </row>
    <row r="38" spans="1:12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IF(Inventario15[[#This Row],[Cantidad de unidades por bulto]]=0, 0, Inventario15[[#This Row],[Precio por bulto ($)]]/Inventario15[[#This Row],[Cantidad de unidades por bulto]])</f>
        <v>11</v>
      </c>
      <c r="G38" s="9">
        <f>Inventario15[[#This Row],[Precio]]*Inventario15[[#This Row],[Existencia]]</f>
        <v>0</v>
      </c>
      <c r="L38" s="3">
        <v>1</v>
      </c>
    </row>
    <row r="39" spans="1:12" x14ac:dyDescent="0.3">
      <c r="A39" s="1">
        <v>28</v>
      </c>
      <c r="B39" s="10" t="s">
        <v>35</v>
      </c>
      <c r="C39" s="11">
        <v>11</v>
      </c>
      <c r="D39" s="4">
        <v>24</v>
      </c>
      <c r="E39" s="5">
        <v>13.5</v>
      </c>
      <c r="F39" s="6">
        <f>IF(Inventario15[[#This Row],[Cantidad de unidades por bulto]]=0, 0, Inventario15[[#This Row],[Precio por bulto ($)]]/Inventario15[[#This Row],[Cantidad de unidades por bulto]])</f>
        <v>0.5625</v>
      </c>
      <c r="G39" s="9">
        <f>Inventario15[[#This Row],[Precio]]*Inventario15[[#This Row],[Existencia]]</f>
        <v>6.1875</v>
      </c>
      <c r="L39" s="3">
        <v>0</v>
      </c>
    </row>
    <row r="40" spans="1:12" x14ac:dyDescent="0.3">
      <c r="A40" s="15">
        <v>35</v>
      </c>
      <c r="B40" s="2" t="s">
        <v>48</v>
      </c>
      <c r="C40" s="11">
        <v>5</v>
      </c>
      <c r="D40" s="4">
        <v>6</v>
      </c>
      <c r="E40" s="14">
        <v>12</v>
      </c>
      <c r="F40" s="6">
        <f>IF(Inventario15[[#This Row],[Cantidad de unidades por bulto]]=0, 0, Inventario15[[#This Row],[Precio por bulto ($)]]/Inventario15[[#This Row],[Cantidad de unidades por bulto]])</f>
        <v>2</v>
      </c>
      <c r="G40" s="9">
        <f>Inventario15[[#This Row],[Precio]]*Inventario15[[#This Row],[Existencia]]</f>
        <v>10</v>
      </c>
      <c r="L40" s="3">
        <v>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2018-2949-4A26-B54B-5C873B20D522}">
  <sheetPr codeName="Hoja14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SUM(Inventario14[Importe])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IF(Inventario14[[#This Row],[Cantidad de unidades por bulto]]=0, 0, Inventario14[[#This Row],[Precio por bulto ($)]]/Inventario14[[#This Row],[Cantidad de unidades por bulto]])</f>
        <v>1.25</v>
      </c>
      <c r="G2" s="9">
        <f>Inventario14[[#This Row],[Precio]]*Inventario14[[#This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IF(Inventario14[[#This Row],[Cantidad de unidades por bulto]]=0, 0, Inventario14[[#This Row],[Precio por bulto ($)]]/Inventario14[[#This Row],[Cantidad de unidades por bulto]])</f>
        <v>1.2250000000000001</v>
      </c>
      <c r="G3" s="9">
        <f>Inventario14[[#This Row],[Precio]]*Inventario14[[#This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IF(Inventario14[[#This Row],[Cantidad de unidades por bulto]]=0, 0, Inventario14[[#This Row],[Precio por bulto ($)]]/Inventario14[[#This Row],[Cantidad de unidades por bulto]])</f>
        <v>0.81</v>
      </c>
      <c r="G4" s="9">
        <f>Inventario14[[#This Row],[Precio]]*Inventario14[[#This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IF(Inventario14[[#This Row],[Cantidad de unidades por bulto]]=0, 0, Inventario14[[#This Row],[Precio por bulto ($)]]/Inventario14[[#This Row],[Cantidad de unidades por bulto]])</f>
        <v>0.8</v>
      </c>
      <c r="G5" s="9">
        <f>Inventario14[[#This Row],[Precio]]*Inventario14[[#This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IF(Inventario14[[#This Row],[Cantidad de unidades por bulto]]=0, 0, Inventario14[[#This Row],[Precio por bulto ($)]]/Inventario14[[#This Row],[Cantidad de unidades por bulto]])</f>
        <v>0.81</v>
      </c>
      <c r="G6" s="9">
        <f>Inventario14[[#This Row],[Precio]]*Inventario14[[#This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IF(Inventario14[[#This Row],[Cantidad de unidades por bulto]]=0, 0, Inventario14[[#This Row],[Precio por bulto ($)]]/Inventario14[[#This Row],[Cantidad de unidades por bulto]])</f>
        <v>0.8773333333333333</v>
      </c>
      <c r="G7" s="9">
        <f>Inventario14[[#This Row],[Precio]]*Inventario14[[#This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IF(Inventario14[[#This Row],[Cantidad de unidades por bulto]]=0, 0, Inventario14[[#This Row],[Precio por bulto ($)]]/Inventario14[[#This Row],[Cantidad de unidades por bulto]])</f>
        <v>0.75</v>
      </c>
      <c r="G8" s="9">
        <f>Inventario14[[#This Row],[Precio]]*Inventario14[[#This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IF(Inventario14[[#This Row],[Cantidad de unidades por bulto]]=0, 0, Inventario14[[#This Row],[Precio por bulto ($)]]/Inventario14[[#This Row],[Cantidad de unidades por bulto]])</f>
        <v>0.75</v>
      </c>
      <c r="G9" s="9">
        <f>Inventario14[[#This Row],[Precio]]*Inventario14[[#This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IF(Inventario14[[#This Row],[Cantidad de unidades por bulto]]=0, 0, Inventario14[[#This Row],[Precio por bulto ($)]]/Inventario14[[#This Row],[Cantidad de unidades por bulto]])</f>
        <v>1.25</v>
      </c>
      <c r="G10" s="9">
        <f>Inventario14[[#This Row],[Precio]]*Inventario14[[#This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IF(Inventario14[[#This Row],[Cantidad de unidades por bulto]]=0, 0, Inventario14[[#This Row],[Precio por bulto ($)]]/Inventario14[[#This Row],[Cantidad de unidades por bulto]])</f>
        <v>11</v>
      </c>
      <c r="G11" s="9">
        <f>Inventario14[[#This Row],[Precio]]*Inventario14[[#This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IF(Inventario14[[#This Row],[Cantidad de unidades por bulto]]=0, 0, Inventario14[[#This Row],[Precio por bulto ($)]]/Inventario14[[#This Row],[Cantidad de unidades por bulto]])</f>
        <v>11</v>
      </c>
      <c r="G12" s="9">
        <f>Inventario14[[#This Row],[Precio]]*Inventario14[[#This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IF(Inventario14[[#This Row],[Cantidad de unidades por bulto]]=0, 0, Inventario14[[#This Row],[Precio por bulto ($)]]/Inventario14[[#This Row],[Cantidad de unidades por bulto]])</f>
        <v>1.25</v>
      </c>
      <c r="G13" s="9">
        <f>Inventario14[[#This Row],[Precio]]*Inventario14[[#This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IF(Inventario14[[#This Row],[Cantidad de unidades por bulto]]=0, 0, Inventario14[[#This Row],[Precio por bulto ($)]]/Inventario14[[#This Row],[Cantidad de unidades por bulto]])</f>
        <v>1.125</v>
      </c>
      <c r="G14" s="9">
        <f>Inventario14[[#This Row],[Precio]]*Inventario14[[#This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IF(Inventario14[[#This Row],[Cantidad de unidades por bulto]]=0, 0, Inventario14[[#This Row],[Precio por bulto ($)]]/Inventario14[[#This Row],[Cantidad de unidades por bulto]])</f>
        <v>0.69916666666666671</v>
      </c>
      <c r="G15" s="9">
        <f>Inventario14[[#This Row],[Precio]]*Inventario14[[#This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IF(Inventario14[[#This Row],[Cantidad de unidades por bulto]]=0, 0, Inventario14[[#This Row],[Precio por bulto ($)]]/Inventario14[[#This Row],[Cantidad de unidades por bulto]])</f>
        <v>1.125</v>
      </c>
      <c r="G16" s="9">
        <f>Inventario14[[#This Row],[Precio]]*Inventario14[[#This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IF(Inventario14[[#This Row],[Cantidad de unidades por bulto]]=0, 0, Inventario14[[#This Row],[Precio por bulto ($)]]/Inventario14[[#This Row],[Cantidad de unidades por bulto]])</f>
        <v>1.125</v>
      </c>
      <c r="G17" s="9">
        <f>Inventario14[[#This Row],[Precio]]*Inventario14[[#This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IF(Inventario14[[#This Row],[Cantidad de unidades por bulto]]=0, 0, Inventario14[[#This Row],[Precio por bulto ($)]]/Inventario14[[#This Row],[Cantidad de unidades por bulto]])</f>
        <v>0.63461538461538458</v>
      </c>
      <c r="G18" s="9">
        <f>Inventario14[[#This Row],[Precio]]*Inventario14[[#This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IF(Inventario14[[#This Row],[Cantidad de unidades por bulto]]=0, 0, Inventario14[[#This Row],[Precio por bulto ($)]]/Inventario14[[#This Row],[Cantidad de unidades por bulto]])</f>
        <v>0.10416666666666667</v>
      </c>
      <c r="G19" s="9">
        <f>Inventario14[[#This Row],[Precio]]*Inventario14[[#This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IF(Inventario14[[#This Row],[Cantidad de unidades por bulto]]=0, 0, Inventario14[[#This Row],[Precio por bulto ($)]]/Inventario14[[#This Row],[Cantidad de unidades por bulto]])</f>
        <v>2.6</v>
      </c>
      <c r="G20" s="9">
        <f>Inventario14[[#This Row],[Precio]]*Inventario14[[#This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IF(Inventario14[[#This Row],[Cantidad de unidades por bulto]]=0, 0, Inventario14[[#This Row],[Precio por bulto ($)]]/Inventario14[[#This Row],[Cantidad de unidades por bulto]])</f>
        <v>0.9</v>
      </c>
      <c r="G21" s="9">
        <f>Inventario14[[#This Row],[Precio]]*Inventario14[[#This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IF(Inventario14[[#This Row],[Cantidad de unidades por bulto]]=0, 0, Inventario14[[#This Row],[Precio por bulto ($)]]/Inventario14[[#This Row],[Cantidad de unidades por bulto]])</f>
        <v>45</v>
      </c>
      <c r="G22" s="9">
        <f>Inventario14[[#This Row],[Precio]]*Inventario14[[#This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IF(Inventario14[[#This Row],[Cantidad de unidades por bulto]]=0, 0, Inventario14[[#This Row],[Precio por bulto ($)]]/Inventario14[[#This Row],[Cantidad de unidades por bulto]])</f>
        <v>1.6</v>
      </c>
      <c r="G23" s="9">
        <f>Inventario14[[#This Row],[Precio]]*Inventario14[[#This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IF(Inventario14[[#This Row],[Cantidad de unidades por bulto]]=0, 0, Inventario14[[#This Row],[Precio por bulto ($)]]/Inventario14[[#This Row],[Cantidad de unidades por bulto]])</f>
        <v>0.22</v>
      </c>
      <c r="G24" s="9">
        <f>Inventario14[[#This Row],[Precio]]*Inventario14[[#This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IF(Inventario14[[#This Row],[Cantidad de unidades por bulto]]=0, 0, Inventario14[[#This Row],[Precio por bulto ($)]]/Inventario14[[#This Row],[Cantidad de unidades por bulto]])</f>
        <v>0.35166666666666663</v>
      </c>
      <c r="G25" s="9">
        <f>Inventario14[[#This Row],[Precio]]*Inventario14[[#This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IF(Inventario14[[#This Row],[Cantidad de unidades por bulto]]=0, 0, Inventario14[[#This Row],[Precio por bulto ($)]]/Inventario14[[#This Row],[Cantidad de unidades por bulto]])</f>
        <v>1.8</v>
      </c>
      <c r="G26" s="9">
        <f>Inventario14[[#This Row],[Precio]]*Inventario14[[#This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IF(Inventario14[[#This Row],[Cantidad de unidades por bulto]]=0, 0, Inventario14[[#This Row],[Precio por bulto ($)]]/Inventario14[[#This Row],[Cantidad de unidades por bulto]])</f>
        <v>3.625</v>
      </c>
      <c r="G27" s="9">
        <f>Inventario14[[#This Row],[Precio]]*Inventario14[[#This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IF(Inventario14[[#This Row],[Cantidad de unidades por bulto]]=0, 0, Inventario14[[#This Row],[Precio por bulto ($)]]/Inventario14[[#This Row],[Cantidad de unidades por bulto]])</f>
        <v>0.52083333333333337</v>
      </c>
      <c r="G28" s="9">
        <f>Inventario14[[#This Row],[Precio]]*Inventario14[[#This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IF(Inventario14[[#This Row],[Cantidad de unidades por bulto]]=0, 0, Inventario14[[#This Row],[Precio por bulto ($)]]/Inventario14[[#This Row],[Cantidad de unidades por bulto]])</f>
        <v>29</v>
      </c>
      <c r="G29" s="9">
        <f>Inventario14[[#This Row],[Precio]]*Inventario14[[#This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IF(Inventario14[[#This Row],[Cantidad de unidades por bulto]]=0, 0, Inventario14[[#This Row],[Precio por bulto ($)]]/Inventario14[[#This Row],[Cantidad de unidades por bulto]])</f>
        <v>0.52083333333333337</v>
      </c>
      <c r="G30" s="9">
        <f>Inventario14[[#This Row],[Precio]]*Inventario14[[#This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IF(Inventario14[[#This Row],[Cantidad de unidades por bulto]]=0, 0, Inventario14[[#This Row],[Precio por bulto ($)]]/Inventario14[[#This Row],[Cantidad de unidades por bulto]])</f>
        <v>0.375</v>
      </c>
      <c r="G31" s="9">
        <f>Inventario14[[#This Row],[Precio]]*Inventario14[[#This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IF(Inventario14[[#This Row],[Cantidad de unidades por bulto]]=0, 0, Inventario14[[#This Row],[Precio por bulto ($)]]/Inventario14[[#This Row],[Cantidad de unidades por bulto]])</f>
        <v>7.05</v>
      </c>
      <c r="G32" s="9">
        <f>Inventario14[[#This Row],[Precio]]*Inventario14[[#This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IF(Inventario14[[#This Row],[Cantidad de unidades por bulto]]=0, 0, Inventario14[[#This Row],[Precio por bulto ($)]]/Inventario14[[#This Row],[Cantidad de unidades por bulto]])</f>
        <v>7.05</v>
      </c>
      <c r="G33" s="9">
        <f>Inventario14[[#This Row],[Precio]]*Inventario14[[#This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IF(Inventario14[[#This Row],[Cantidad de unidades por bulto]]=0, 0, Inventario14[[#This Row],[Precio por bulto ($)]]/Inventario14[[#This Row],[Cantidad de unidades por bulto]])</f>
        <v>7.05</v>
      </c>
      <c r="G34" s="9">
        <f>Inventario14[[#This Row],[Precio]]*Inventario14[[#This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IF(Inventario14[[#This Row],[Cantidad de unidades por bulto]]=0, 0, Inventario14[[#This Row],[Precio por bulto ($)]]/Inventario14[[#This Row],[Cantidad de unidades por bulto]])</f>
        <v>1.95</v>
      </c>
      <c r="G35" s="9">
        <f>Inventario14[[#This Row],[Precio]]*Inventario14[[#This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IF(Inventario14[[#This Row],[Cantidad de unidades por bulto]]=0, 0, Inventario14[[#This Row],[Precio por bulto ($)]]/Inventario14[[#This Row],[Cantidad de unidades por bulto]])</f>
        <v>0.3</v>
      </c>
      <c r="G36" s="9">
        <f>Inventario14[[#This Row],[Precio]]*Inventario14[[#This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IF(Inventario14[[#This Row],[Cantidad de unidades por bulto]]=0, 0, Inventario14[[#This Row],[Precio por bulto ($)]]/Inventario14[[#This Row],[Cantidad de unidades por bulto]])</f>
        <v>13.5</v>
      </c>
      <c r="G37" s="9">
        <f>Inventario14[[#This Row],[Precio]]*Inventario14[[#This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IF(Inventario14[[#This Row],[Cantidad de unidades por bulto]]=0, 0, Inventario14[[#This Row],[Precio por bulto ($)]]/Inventario14[[#This Row],[Cantidad de unidades por bulto]])</f>
        <v>11</v>
      </c>
      <c r="G38" s="9">
        <f>Inventario14[[#This Row],[Precio]]*Inventario14[[#This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IF(Inventario14[[#This Row],[Cantidad de unidades por bulto]]=0, 0, Inventario14[[#This Row],[Precio por bulto ($)]]/Inventario14[[#This Row],[Cantidad de unidades por bulto]])</f>
        <v>0.5625</v>
      </c>
      <c r="G39" s="9">
        <f>Inventario14[[#This Row],[Precio]]*Inventario14[[#This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IF(Inventario14[[#This Row],[Cantidad de unidades por bulto]]=0, 0, Inventario14[[#This Row],[Precio por bulto ($)]]/Inventario14[[#This Row],[Cantidad de unidades por bulto]])</f>
        <v>2</v>
      </c>
      <c r="G40" s="9">
        <f>Inventario14[[#This Row],[Precio]]*Inventario14[[#This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00DF3-036E-40B1-B7E7-BC54A07CCAD0}">
  <sheetPr codeName="Hoja13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SUM(Inventario13[Importe])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IF(Inventario13[[#This Row],[Cantidad de unidades por bulto]]=0, 0, Inventario13[[#This Row],[Precio por bulto ($)]]/Inventario13[[#This Row],[Cantidad de unidades por bulto]])</f>
        <v>1.25</v>
      </c>
      <c r="G2" s="9">
        <f>Inventario13[[#This Row],[Precio]]*Inventario13[[#This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IF(Inventario13[[#This Row],[Cantidad de unidades por bulto]]=0, 0, Inventario13[[#This Row],[Precio por bulto ($)]]/Inventario13[[#This Row],[Cantidad de unidades por bulto]])</f>
        <v>1.2250000000000001</v>
      </c>
      <c r="G3" s="9">
        <f>Inventario13[[#This Row],[Precio]]*Inventario13[[#This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IF(Inventario13[[#This Row],[Cantidad de unidades por bulto]]=0, 0, Inventario13[[#This Row],[Precio por bulto ($)]]/Inventario13[[#This Row],[Cantidad de unidades por bulto]])</f>
        <v>0.81</v>
      </c>
      <c r="G4" s="9">
        <f>Inventario13[[#This Row],[Precio]]*Inventario13[[#This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IF(Inventario13[[#This Row],[Cantidad de unidades por bulto]]=0, 0, Inventario13[[#This Row],[Precio por bulto ($)]]/Inventario13[[#This Row],[Cantidad de unidades por bulto]])</f>
        <v>0.8</v>
      </c>
      <c r="G5" s="9">
        <f>Inventario13[[#This Row],[Precio]]*Inventario13[[#This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IF(Inventario13[[#This Row],[Cantidad de unidades por bulto]]=0, 0, Inventario13[[#This Row],[Precio por bulto ($)]]/Inventario13[[#This Row],[Cantidad de unidades por bulto]])</f>
        <v>0.81</v>
      </c>
      <c r="G6" s="9">
        <f>Inventario13[[#This Row],[Precio]]*Inventario13[[#This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IF(Inventario13[[#This Row],[Cantidad de unidades por bulto]]=0, 0, Inventario13[[#This Row],[Precio por bulto ($)]]/Inventario13[[#This Row],[Cantidad de unidades por bulto]])</f>
        <v>0.8773333333333333</v>
      </c>
      <c r="G7" s="9">
        <f>Inventario13[[#This Row],[Precio]]*Inventario13[[#This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IF(Inventario13[[#This Row],[Cantidad de unidades por bulto]]=0, 0, Inventario13[[#This Row],[Precio por bulto ($)]]/Inventario13[[#This Row],[Cantidad de unidades por bulto]])</f>
        <v>0.75</v>
      </c>
      <c r="G8" s="9">
        <f>Inventario13[[#This Row],[Precio]]*Inventario13[[#This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IF(Inventario13[[#This Row],[Cantidad de unidades por bulto]]=0, 0, Inventario13[[#This Row],[Precio por bulto ($)]]/Inventario13[[#This Row],[Cantidad de unidades por bulto]])</f>
        <v>0.75</v>
      </c>
      <c r="G9" s="9">
        <f>Inventario13[[#This Row],[Precio]]*Inventario13[[#This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IF(Inventario13[[#This Row],[Cantidad de unidades por bulto]]=0, 0, Inventario13[[#This Row],[Precio por bulto ($)]]/Inventario13[[#This Row],[Cantidad de unidades por bulto]])</f>
        <v>1.25</v>
      </c>
      <c r="G10" s="9">
        <f>Inventario13[[#This Row],[Precio]]*Inventario13[[#This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IF(Inventario13[[#This Row],[Cantidad de unidades por bulto]]=0, 0, Inventario13[[#This Row],[Precio por bulto ($)]]/Inventario13[[#This Row],[Cantidad de unidades por bulto]])</f>
        <v>11</v>
      </c>
      <c r="G11" s="9">
        <f>Inventario13[[#This Row],[Precio]]*Inventario13[[#This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IF(Inventario13[[#This Row],[Cantidad de unidades por bulto]]=0, 0, Inventario13[[#This Row],[Precio por bulto ($)]]/Inventario13[[#This Row],[Cantidad de unidades por bulto]])</f>
        <v>11</v>
      </c>
      <c r="G12" s="9">
        <f>Inventario13[[#This Row],[Precio]]*Inventario13[[#This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IF(Inventario13[[#This Row],[Cantidad de unidades por bulto]]=0, 0, Inventario13[[#This Row],[Precio por bulto ($)]]/Inventario13[[#This Row],[Cantidad de unidades por bulto]])</f>
        <v>1.25</v>
      </c>
      <c r="G13" s="9">
        <f>Inventario13[[#This Row],[Precio]]*Inventario13[[#This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IF(Inventario13[[#This Row],[Cantidad de unidades por bulto]]=0, 0, Inventario13[[#This Row],[Precio por bulto ($)]]/Inventario13[[#This Row],[Cantidad de unidades por bulto]])</f>
        <v>1.125</v>
      </c>
      <c r="G14" s="9">
        <f>Inventario13[[#This Row],[Precio]]*Inventario13[[#This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IF(Inventario13[[#This Row],[Cantidad de unidades por bulto]]=0, 0, Inventario13[[#This Row],[Precio por bulto ($)]]/Inventario13[[#This Row],[Cantidad de unidades por bulto]])</f>
        <v>0.69916666666666671</v>
      </c>
      <c r="G15" s="9">
        <f>Inventario13[[#This Row],[Precio]]*Inventario13[[#This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IF(Inventario13[[#This Row],[Cantidad de unidades por bulto]]=0, 0, Inventario13[[#This Row],[Precio por bulto ($)]]/Inventario13[[#This Row],[Cantidad de unidades por bulto]])</f>
        <v>1.125</v>
      </c>
      <c r="G16" s="9">
        <f>Inventario13[[#This Row],[Precio]]*Inventario13[[#This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IF(Inventario13[[#This Row],[Cantidad de unidades por bulto]]=0, 0, Inventario13[[#This Row],[Precio por bulto ($)]]/Inventario13[[#This Row],[Cantidad de unidades por bulto]])</f>
        <v>1.125</v>
      </c>
      <c r="G17" s="9">
        <f>Inventario13[[#This Row],[Precio]]*Inventario13[[#This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IF(Inventario13[[#This Row],[Cantidad de unidades por bulto]]=0, 0, Inventario13[[#This Row],[Precio por bulto ($)]]/Inventario13[[#This Row],[Cantidad de unidades por bulto]])</f>
        <v>0.63461538461538458</v>
      </c>
      <c r="G18" s="9">
        <f>Inventario13[[#This Row],[Precio]]*Inventario13[[#This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IF(Inventario13[[#This Row],[Cantidad de unidades por bulto]]=0, 0, Inventario13[[#This Row],[Precio por bulto ($)]]/Inventario13[[#This Row],[Cantidad de unidades por bulto]])</f>
        <v>0.10416666666666667</v>
      </c>
      <c r="G19" s="9">
        <f>Inventario13[[#This Row],[Precio]]*Inventario13[[#This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IF(Inventario13[[#This Row],[Cantidad de unidades por bulto]]=0, 0, Inventario13[[#This Row],[Precio por bulto ($)]]/Inventario13[[#This Row],[Cantidad de unidades por bulto]])</f>
        <v>2.6</v>
      </c>
      <c r="G20" s="9">
        <f>Inventario13[[#This Row],[Precio]]*Inventario13[[#This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IF(Inventario13[[#This Row],[Cantidad de unidades por bulto]]=0, 0, Inventario13[[#This Row],[Precio por bulto ($)]]/Inventario13[[#This Row],[Cantidad de unidades por bulto]])</f>
        <v>0.9</v>
      </c>
      <c r="G21" s="9">
        <f>Inventario13[[#This Row],[Precio]]*Inventario13[[#This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IF(Inventario13[[#This Row],[Cantidad de unidades por bulto]]=0, 0, Inventario13[[#This Row],[Precio por bulto ($)]]/Inventario13[[#This Row],[Cantidad de unidades por bulto]])</f>
        <v>45</v>
      </c>
      <c r="G22" s="9">
        <f>Inventario13[[#This Row],[Precio]]*Inventario13[[#This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IF(Inventario13[[#This Row],[Cantidad de unidades por bulto]]=0, 0, Inventario13[[#This Row],[Precio por bulto ($)]]/Inventario13[[#This Row],[Cantidad de unidades por bulto]])</f>
        <v>1.6</v>
      </c>
      <c r="G23" s="9">
        <f>Inventario13[[#This Row],[Precio]]*Inventario13[[#This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IF(Inventario13[[#This Row],[Cantidad de unidades por bulto]]=0, 0, Inventario13[[#This Row],[Precio por bulto ($)]]/Inventario13[[#This Row],[Cantidad de unidades por bulto]])</f>
        <v>0.22</v>
      </c>
      <c r="G24" s="9">
        <f>Inventario13[[#This Row],[Precio]]*Inventario13[[#This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IF(Inventario13[[#This Row],[Cantidad de unidades por bulto]]=0, 0, Inventario13[[#This Row],[Precio por bulto ($)]]/Inventario13[[#This Row],[Cantidad de unidades por bulto]])</f>
        <v>0.35166666666666663</v>
      </c>
      <c r="G25" s="9">
        <f>Inventario13[[#This Row],[Precio]]*Inventario13[[#This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IF(Inventario13[[#This Row],[Cantidad de unidades por bulto]]=0, 0, Inventario13[[#This Row],[Precio por bulto ($)]]/Inventario13[[#This Row],[Cantidad de unidades por bulto]])</f>
        <v>1.8</v>
      </c>
      <c r="G26" s="9">
        <f>Inventario13[[#This Row],[Precio]]*Inventario13[[#This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IF(Inventario13[[#This Row],[Cantidad de unidades por bulto]]=0, 0, Inventario13[[#This Row],[Precio por bulto ($)]]/Inventario13[[#This Row],[Cantidad de unidades por bulto]])</f>
        <v>3.625</v>
      </c>
      <c r="G27" s="9">
        <f>Inventario13[[#This Row],[Precio]]*Inventario13[[#This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IF(Inventario13[[#This Row],[Cantidad de unidades por bulto]]=0, 0, Inventario13[[#This Row],[Precio por bulto ($)]]/Inventario13[[#This Row],[Cantidad de unidades por bulto]])</f>
        <v>0.52083333333333337</v>
      </c>
      <c r="G28" s="9">
        <f>Inventario13[[#This Row],[Precio]]*Inventario13[[#This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IF(Inventario13[[#This Row],[Cantidad de unidades por bulto]]=0, 0, Inventario13[[#This Row],[Precio por bulto ($)]]/Inventario13[[#This Row],[Cantidad de unidades por bulto]])</f>
        <v>29</v>
      </c>
      <c r="G29" s="9">
        <f>Inventario13[[#This Row],[Precio]]*Inventario13[[#This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IF(Inventario13[[#This Row],[Cantidad de unidades por bulto]]=0, 0, Inventario13[[#This Row],[Precio por bulto ($)]]/Inventario13[[#This Row],[Cantidad de unidades por bulto]])</f>
        <v>0.52083333333333337</v>
      </c>
      <c r="G30" s="9">
        <f>Inventario13[[#This Row],[Precio]]*Inventario13[[#This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IF(Inventario13[[#This Row],[Cantidad de unidades por bulto]]=0, 0, Inventario13[[#This Row],[Precio por bulto ($)]]/Inventario13[[#This Row],[Cantidad de unidades por bulto]])</f>
        <v>0.375</v>
      </c>
      <c r="G31" s="9">
        <f>Inventario13[[#This Row],[Precio]]*Inventario13[[#This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IF(Inventario13[[#This Row],[Cantidad de unidades por bulto]]=0, 0, Inventario13[[#This Row],[Precio por bulto ($)]]/Inventario13[[#This Row],[Cantidad de unidades por bulto]])</f>
        <v>7.05</v>
      </c>
      <c r="G32" s="9">
        <f>Inventario13[[#This Row],[Precio]]*Inventario13[[#This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IF(Inventario13[[#This Row],[Cantidad de unidades por bulto]]=0, 0, Inventario13[[#This Row],[Precio por bulto ($)]]/Inventario13[[#This Row],[Cantidad de unidades por bulto]])</f>
        <v>7.05</v>
      </c>
      <c r="G33" s="9">
        <f>Inventario13[[#This Row],[Precio]]*Inventario13[[#This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IF(Inventario13[[#This Row],[Cantidad de unidades por bulto]]=0, 0, Inventario13[[#This Row],[Precio por bulto ($)]]/Inventario13[[#This Row],[Cantidad de unidades por bulto]])</f>
        <v>7.05</v>
      </c>
      <c r="G34" s="9">
        <f>Inventario13[[#This Row],[Precio]]*Inventario13[[#This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IF(Inventario13[[#This Row],[Cantidad de unidades por bulto]]=0, 0, Inventario13[[#This Row],[Precio por bulto ($)]]/Inventario13[[#This Row],[Cantidad de unidades por bulto]])</f>
        <v>1.95</v>
      </c>
      <c r="G35" s="9">
        <f>Inventario13[[#This Row],[Precio]]*Inventario13[[#This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IF(Inventario13[[#This Row],[Cantidad de unidades por bulto]]=0, 0, Inventario13[[#This Row],[Precio por bulto ($)]]/Inventario13[[#This Row],[Cantidad de unidades por bulto]])</f>
        <v>0.3</v>
      </c>
      <c r="G36" s="9">
        <f>Inventario13[[#This Row],[Precio]]*Inventario13[[#This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IF(Inventario13[[#This Row],[Cantidad de unidades por bulto]]=0, 0, Inventario13[[#This Row],[Precio por bulto ($)]]/Inventario13[[#This Row],[Cantidad de unidades por bulto]])</f>
        <v>13.5</v>
      </c>
      <c r="G37" s="9">
        <f>Inventario13[[#This Row],[Precio]]*Inventario13[[#This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IF(Inventario13[[#This Row],[Cantidad de unidades por bulto]]=0, 0, Inventario13[[#This Row],[Precio por bulto ($)]]/Inventario13[[#This Row],[Cantidad de unidades por bulto]])</f>
        <v>11</v>
      </c>
      <c r="G38" s="9">
        <f>Inventario13[[#This Row],[Precio]]*Inventario13[[#This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IF(Inventario13[[#This Row],[Cantidad de unidades por bulto]]=0, 0, Inventario13[[#This Row],[Precio por bulto ($)]]/Inventario13[[#This Row],[Cantidad de unidades por bulto]])</f>
        <v>0.5625</v>
      </c>
      <c r="G39" s="9">
        <f>Inventario13[[#This Row],[Precio]]*Inventario13[[#This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IF(Inventario13[[#This Row],[Cantidad de unidades por bulto]]=0, 0, Inventario13[[#This Row],[Precio por bulto ($)]]/Inventario13[[#This Row],[Cantidad de unidades por bulto]])</f>
        <v>2</v>
      </c>
      <c r="G40" s="9">
        <f>Inventario13[[#This Row],[Precio]]*Inventario13[[#This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282A9-86C9-4BD4-97EA-F81C548A7EDE}">
  <sheetPr codeName="Hoja12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SUM(Inventario12[Importe])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IF(Inventario12[[#This Row],[Cantidad de unidades por bulto]]=0, 0, Inventario12[[#This Row],[Precio por bulto ($)]]/Inventario12[[#This Row],[Cantidad de unidades por bulto]])</f>
        <v>1.25</v>
      </c>
      <c r="G2" s="9">
        <f>Inventario12[[#This Row],[Precio]]*Inventario12[[#This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IF(Inventario12[[#This Row],[Cantidad de unidades por bulto]]=0, 0, Inventario12[[#This Row],[Precio por bulto ($)]]/Inventario12[[#This Row],[Cantidad de unidades por bulto]])</f>
        <v>1.2250000000000001</v>
      </c>
      <c r="G3" s="9">
        <f>Inventario12[[#This Row],[Precio]]*Inventario12[[#This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IF(Inventario12[[#This Row],[Cantidad de unidades por bulto]]=0, 0, Inventario12[[#This Row],[Precio por bulto ($)]]/Inventario12[[#This Row],[Cantidad de unidades por bulto]])</f>
        <v>0.81</v>
      </c>
      <c r="G4" s="9">
        <f>Inventario12[[#This Row],[Precio]]*Inventario12[[#This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IF(Inventario12[[#This Row],[Cantidad de unidades por bulto]]=0, 0, Inventario12[[#This Row],[Precio por bulto ($)]]/Inventario12[[#This Row],[Cantidad de unidades por bulto]])</f>
        <v>0.8</v>
      </c>
      <c r="G5" s="9">
        <f>Inventario12[[#This Row],[Precio]]*Inventario12[[#This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IF(Inventario12[[#This Row],[Cantidad de unidades por bulto]]=0, 0, Inventario12[[#This Row],[Precio por bulto ($)]]/Inventario12[[#This Row],[Cantidad de unidades por bulto]])</f>
        <v>0.81</v>
      </c>
      <c r="G6" s="9">
        <f>Inventario12[[#This Row],[Precio]]*Inventario12[[#This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IF(Inventario12[[#This Row],[Cantidad de unidades por bulto]]=0, 0, Inventario12[[#This Row],[Precio por bulto ($)]]/Inventario12[[#This Row],[Cantidad de unidades por bulto]])</f>
        <v>0.8773333333333333</v>
      </c>
      <c r="G7" s="9">
        <f>Inventario12[[#This Row],[Precio]]*Inventario12[[#This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IF(Inventario12[[#This Row],[Cantidad de unidades por bulto]]=0, 0, Inventario12[[#This Row],[Precio por bulto ($)]]/Inventario12[[#This Row],[Cantidad de unidades por bulto]])</f>
        <v>0.75</v>
      </c>
      <c r="G8" s="9">
        <f>Inventario12[[#This Row],[Precio]]*Inventario12[[#This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IF(Inventario12[[#This Row],[Cantidad de unidades por bulto]]=0, 0, Inventario12[[#This Row],[Precio por bulto ($)]]/Inventario12[[#This Row],[Cantidad de unidades por bulto]])</f>
        <v>0.75</v>
      </c>
      <c r="G9" s="9">
        <f>Inventario12[[#This Row],[Precio]]*Inventario12[[#This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IF(Inventario12[[#This Row],[Cantidad de unidades por bulto]]=0, 0, Inventario12[[#This Row],[Precio por bulto ($)]]/Inventario12[[#This Row],[Cantidad de unidades por bulto]])</f>
        <v>1.25</v>
      </c>
      <c r="G10" s="9">
        <f>Inventario12[[#This Row],[Precio]]*Inventario12[[#This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IF(Inventario12[[#This Row],[Cantidad de unidades por bulto]]=0, 0, Inventario12[[#This Row],[Precio por bulto ($)]]/Inventario12[[#This Row],[Cantidad de unidades por bulto]])</f>
        <v>11</v>
      </c>
      <c r="G11" s="9">
        <f>Inventario12[[#This Row],[Precio]]*Inventario12[[#This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IF(Inventario12[[#This Row],[Cantidad de unidades por bulto]]=0, 0, Inventario12[[#This Row],[Precio por bulto ($)]]/Inventario12[[#This Row],[Cantidad de unidades por bulto]])</f>
        <v>11</v>
      </c>
      <c r="G12" s="9">
        <f>Inventario12[[#This Row],[Precio]]*Inventario12[[#This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IF(Inventario12[[#This Row],[Cantidad de unidades por bulto]]=0, 0, Inventario12[[#This Row],[Precio por bulto ($)]]/Inventario12[[#This Row],[Cantidad de unidades por bulto]])</f>
        <v>1.25</v>
      </c>
      <c r="G13" s="9">
        <f>Inventario12[[#This Row],[Precio]]*Inventario12[[#This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IF(Inventario12[[#This Row],[Cantidad de unidades por bulto]]=0, 0, Inventario12[[#This Row],[Precio por bulto ($)]]/Inventario12[[#This Row],[Cantidad de unidades por bulto]])</f>
        <v>1.125</v>
      </c>
      <c r="G14" s="9">
        <f>Inventario12[[#This Row],[Precio]]*Inventario12[[#This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IF(Inventario12[[#This Row],[Cantidad de unidades por bulto]]=0, 0, Inventario12[[#This Row],[Precio por bulto ($)]]/Inventario12[[#This Row],[Cantidad de unidades por bulto]])</f>
        <v>0.69916666666666671</v>
      </c>
      <c r="G15" s="9">
        <f>Inventario12[[#This Row],[Precio]]*Inventario12[[#This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IF(Inventario12[[#This Row],[Cantidad de unidades por bulto]]=0, 0, Inventario12[[#This Row],[Precio por bulto ($)]]/Inventario12[[#This Row],[Cantidad de unidades por bulto]])</f>
        <v>1.125</v>
      </c>
      <c r="G16" s="9">
        <f>Inventario12[[#This Row],[Precio]]*Inventario12[[#This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IF(Inventario12[[#This Row],[Cantidad de unidades por bulto]]=0, 0, Inventario12[[#This Row],[Precio por bulto ($)]]/Inventario12[[#This Row],[Cantidad de unidades por bulto]])</f>
        <v>1.125</v>
      </c>
      <c r="G17" s="9">
        <f>Inventario12[[#This Row],[Precio]]*Inventario12[[#This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IF(Inventario12[[#This Row],[Cantidad de unidades por bulto]]=0, 0, Inventario12[[#This Row],[Precio por bulto ($)]]/Inventario12[[#This Row],[Cantidad de unidades por bulto]])</f>
        <v>0.63461538461538458</v>
      </c>
      <c r="G18" s="9">
        <f>Inventario12[[#This Row],[Precio]]*Inventario12[[#This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IF(Inventario12[[#This Row],[Cantidad de unidades por bulto]]=0, 0, Inventario12[[#This Row],[Precio por bulto ($)]]/Inventario12[[#This Row],[Cantidad de unidades por bulto]])</f>
        <v>0.10416666666666667</v>
      </c>
      <c r="G19" s="9">
        <f>Inventario12[[#This Row],[Precio]]*Inventario12[[#This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IF(Inventario12[[#This Row],[Cantidad de unidades por bulto]]=0, 0, Inventario12[[#This Row],[Precio por bulto ($)]]/Inventario12[[#This Row],[Cantidad de unidades por bulto]])</f>
        <v>2.6</v>
      </c>
      <c r="G20" s="9">
        <f>Inventario12[[#This Row],[Precio]]*Inventario12[[#This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IF(Inventario12[[#This Row],[Cantidad de unidades por bulto]]=0, 0, Inventario12[[#This Row],[Precio por bulto ($)]]/Inventario12[[#This Row],[Cantidad de unidades por bulto]])</f>
        <v>0.9</v>
      </c>
      <c r="G21" s="9">
        <f>Inventario12[[#This Row],[Precio]]*Inventario12[[#This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IF(Inventario12[[#This Row],[Cantidad de unidades por bulto]]=0, 0, Inventario12[[#This Row],[Precio por bulto ($)]]/Inventario12[[#This Row],[Cantidad de unidades por bulto]])</f>
        <v>45</v>
      </c>
      <c r="G22" s="9">
        <f>Inventario12[[#This Row],[Precio]]*Inventario12[[#This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IF(Inventario12[[#This Row],[Cantidad de unidades por bulto]]=0, 0, Inventario12[[#This Row],[Precio por bulto ($)]]/Inventario12[[#This Row],[Cantidad de unidades por bulto]])</f>
        <v>1.6</v>
      </c>
      <c r="G23" s="9">
        <f>Inventario12[[#This Row],[Precio]]*Inventario12[[#This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IF(Inventario12[[#This Row],[Cantidad de unidades por bulto]]=0, 0, Inventario12[[#This Row],[Precio por bulto ($)]]/Inventario12[[#This Row],[Cantidad de unidades por bulto]])</f>
        <v>0.22</v>
      </c>
      <c r="G24" s="9">
        <f>Inventario12[[#This Row],[Precio]]*Inventario12[[#This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IF(Inventario12[[#This Row],[Cantidad de unidades por bulto]]=0, 0, Inventario12[[#This Row],[Precio por bulto ($)]]/Inventario12[[#This Row],[Cantidad de unidades por bulto]])</f>
        <v>0.35166666666666663</v>
      </c>
      <c r="G25" s="9">
        <f>Inventario12[[#This Row],[Precio]]*Inventario12[[#This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IF(Inventario12[[#This Row],[Cantidad de unidades por bulto]]=0, 0, Inventario12[[#This Row],[Precio por bulto ($)]]/Inventario12[[#This Row],[Cantidad de unidades por bulto]])</f>
        <v>1.8</v>
      </c>
      <c r="G26" s="9">
        <f>Inventario12[[#This Row],[Precio]]*Inventario12[[#This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IF(Inventario12[[#This Row],[Cantidad de unidades por bulto]]=0, 0, Inventario12[[#This Row],[Precio por bulto ($)]]/Inventario12[[#This Row],[Cantidad de unidades por bulto]])</f>
        <v>3.625</v>
      </c>
      <c r="G27" s="9">
        <f>Inventario12[[#This Row],[Precio]]*Inventario12[[#This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IF(Inventario12[[#This Row],[Cantidad de unidades por bulto]]=0, 0, Inventario12[[#This Row],[Precio por bulto ($)]]/Inventario12[[#This Row],[Cantidad de unidades por bulto]])</f>
        <v>0.52083333333333337</v>
      </c>
      <c r="G28" s="9">
        <f>Inventario12[[#This Row],[Precio]]*Inventario12[[#This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IF(Inventario12[[#This Row],[Cantidad de unidades por bulto]]=0, 0, Inventario12[[#This Row],[Precio por bulto ($)]]/Inventario12[[#This Row],[Cantidad de unidades por bulto]])</f>
        <v>29</v>
      </c>
      <c r="G29" s="9">
        <f>Inventario12[[#This Row],[Precio]]*Inventario12[[#This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IF(Inventario12[[#This Row],[Cantidad de unidades por bulto]]=0, 0, Inventario12[[#This Row],[Precio por bulto ($)]]/Inventario12[[#This Row],[Cantidad de unidades por bulto]])</f>
        <v>0.52083333333333337</v>
      </c>
      <c r="G30" s="9">
        <f>Inventario12[[#This Row],[Precio]]*Inventario12[[#This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IF(Inventario12[[#This Row],[Cantidad de unidades por bulto]]=0, 0, Inventario12[[#This Row],[Precio por bulto ($)]]/Inventario12[[#This Row],[Cantidad de unidades por bulto]])</f>
        <v>0.375</v>
      </c>
      <c r="G31" s="9">
        <f>Inventario12[[#This Row],[Precio]]*Inventario12[[#This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IF(Inventario12[[#This Row],[Cantidad de unidades por bulto]]=0, 0, Inventario12[[#This Row],[Precio por bulto ($)]]/Inventario12[[#This Row],[Cantidad de unidades por bulto]])</f>
        <v>7.05</v>
      </c>
      <c r="G32" s="9">
        <f>Inventario12[[#This Row],[Precio]]*Inventario12[[#This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IF(Inventario12[[#This Row],[Cantidad de unidades por bulto]]=0, 0, Inventario12[[#This Row],[Precio por bulto ($)]]/Inventario12[[#This Row],[Cantidad de unidades por bulto]])</f>
        <v>7.05</v>
      </c>
      <c r="G33" s="9">
        <f>Inventario12[[#This Row],[Precio]]*Inventario12[[#This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IF(Inventario12[[#This Row],[Cantidad de unidades por bulto]]=0, 0, Inventario12[[#This Row],[Precio por bulto ($)]]/Inventario12[[#This Row],[Cantidad de unidades por bulto]])</f>
        <v>7.05</v>
      </c>
      <c r="G34" s="9">
        <f>Inventario12[[#This Row],[Precio]]*Inventario12[[#This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IF(Inventario12[[#This Row],[Cantidad de unidades por bulto]]=0, 0, Inventario12[[#This Row],[Precio por bulto ($)]]/Inventario12[[#This Row],[Cantidad de unidades por bulto]])</f>
        <v>1.95</v>
      </c>
      <c r="G35" s="9">
        <f>Inventario12[[#This Row],[Precio]]*Inventario12[[#This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IF(Inventario12[[#This Row],[Cantidad de unidades por bulto]]=0, 0, Inventario12[[#This Row],[Precio por bulto ($)]]/Inventario12[[#This Row],[Cantidad de unidades por bulto]])</f>
        <v>0.3</v>
      </c>
      <c r="G36" s="9">
        <f>Inventario12[[#This Row],[Precio]]*Inventario12[[#This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IF(Inventario12[[#This Row],[Cantidad de unidades por bulto]]=0, 0, Inventario12[[#This Row],[Precio por bulto ($)]]/Inventario12[[#This Row],[Cantidad de unidades por bulto]])</f>
        <v>13.5</v>
      </c>
      <c r="G37" s="9">
        <f>Inventario12[[#This Row],[Precio]]*Inventario12[[#This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IF(Inventario12[[#This Row],[Cantidad de unidades por bulto]]=0, 0, Inventario12[[#This Row],[Precio por bulto ($)]]/Inventario12[[#This Row],[Cantidad de unidades por bulto]])</f>
        <v>11</v>
      </c>
      <c r="G38" s="9">
        <f>Inventario12[[#This Row],[Precio]]*Inventario12[[#This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IF(Inventario12[[#This Row],[Cantidad de unidades por bulto]]=0, 0, Inventario12[[#This Row],[Precio por bulto ($)]]/Inventario12[[#This Row],[Cantidad de unidades por bulto]])</f>
        <v>0.5625</v>
      </c>
      <c r="G39" s="9">
        <f>Inventario12[[#This Row],[Precio]]*Inventario12[[#This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IF(Inventario12[[#This Row],[Cantidad de unidades por bulto]]=0, 0, Inventario12[[#This Row],[Precio por bulto ($)]]/Inventario12[[#This Row],[Cantidad de unidades por bulto]])</f>
        <v>2</v>
      </c>
      <c r="G40" s="9">
        <f>Inventario12[[#This Row],[Precio]]*Inventario12[[#This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35116-6EA6-462F-965C-15178F978EC4}">
  <sheetPr codeName="Hoja11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SUM(Inventario11[Importe])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IF(Inventario11[[#This Row],[Cantidad de unidades por bulto]]=0, 0, Inventario11[[#This Row],[Precio por bulto ($)]]/Inventario11[[#This Row],[Cantidad de unidades por bulto]])</f>
        <v>1.25</v>
      </c>
      <c r="G2" s="9">
        <f>Inventario11[[#This Row],[Precio]]*Inventario11[[#This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IF(Inventario11[[#This Row],[Cantidad de unidades por bulto]]=0, 0, Inventario11[[#This Row],[Precio por bulto ($)]]/Inventario11[[#This Row],[Cantidad de unidades por bulto]])</f>
        <v>1.2250000000000001</v>
      </c>
      <c r="G3" s="9">
        <f>Inventario11[[#This Row],[Precio]]*Inventario11[[#This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IF(Inventario11[[#This Row],[Cantidad de unidades por bulto]]=0, 0, Inventario11[[#This Row],[Precio por bulto ($)]]/Inventario11[[#This Row],[Cantidad de unidades por bulto]])</f>
        <v>0.81</v>
      </c>
      <c r="G4" s="9">
        <f>Inventario11[[#This Row],[Precio]]*Inventario11[[#This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IF(Inventario11[[#This Row],[Cantidad de unidades por bulto]]=0, 0, Inventario11[[#This Row],[Precio por bulto ($)]]/Inventario11[[#This Row],[Cantidad de unidades por bulto]])</f>
        <v>0.8</v>
      </c>
      <c r="G5" s="9">
        <f>Inventario11[[#This Row],[Precio]]*Inventario11[[#This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IF(Inventario11[[#This Row],[Cantidad de unidades por bulto]]=0, 0, Inventario11[[#This Row],[Precio por bulto ($)]]/Inventario11[[#This Row],[Cantidad de unidades por bulto]])</f>
        <v>0.81</v>
      </c>
      <c r="G6" s="9">
        <f>Inventario11[[#This Row],[Precio]]*Inventario11[[#This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IF(Inventario11[[#This Row],[Cantidad de unidades por bulto]]=0, 0, Inventario11[[#This Row],[Precio por bulto ($)]]/Inventario11[[#This Row],[Cantidad de unidades por bulto]])</f>
        <v>0.8773333333333333</v>
      </c>
      <c r="G7" s="9">
        <f>Inventario11[[#This Row],[Precio]]*Inventario11[[#This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IF(Inventario11[[#This Row],[Cantidad de unidades por bulto]]=0, 0, Inventario11[[#This Row],[Precio por bulto ($)]]/Inventario11[[#This Row],[Cantidad de unidades por bulto]])</f>
        <v>0.75</v>
      </c>
      <c r="G8" s="9">
        <f>Inventario11[[#This Row],[Precio]]*Inventario11[[#This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IF(Inventario11[[#This Row],[Cantidad de unidades por bulto]]=0, 0, Inventario11[[#This Row],[Precio por bulto ($)]]/Inventario11[[#This Row],[Cantidad de unidades por bulto]])</f>
        <v>0.75</v>
      </c>
      <c r="G9" s="9">
        <f>Inventario11[[#This Row],[Precio]]*Inventario11[[#This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IF(Inventario11[[#This Row],[Cantidad de unidades por bulto]]=0, 0, Inventario11[[#This Row],[Precio por bulto ($)]]/Inventario11[[#This Row],[Cantidad de unidades por bulto]])</f>
        <v>1.25</v>
      </c>
      <c r="G10" s="9">
        <f>Inventario11[[#This Row],[Precio]]*Inventario11[[#This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IF(Inventario11[[#This Row],[Cantidad de unidades por bulto]]=0, 0, Inventario11[[#This Row],[Precio por bulto ($)]]/Inventario11[[#This Row],[Cantidad de unidades por bulto]])</f>
        <v>11</v>
      </c>
      <c r="G11" s="9">
        <f>Inventario11[[#This Row],[Precio]]*Inventario11[[#This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IF(Inventario11[[#This Row],[Cantidad de unidades por bulto]]=0, 0, Inventario11[[#This Row],[Precio por bulto ($)]]/Inventario11[[#This Row],[Cantidad de unidades por bulto]])</f>
        <v>11</v>
      </c>
      <c r="G12" s="9">
        <f>Inventario11[[#This Row],[Precio]]*Inventario11[[#This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IF(Inventario11[[#This Row],[Cantidad de unidades por bulto]]=0, 0, Inventario11[[#This Row],[Precio por bulto ($)]]/Inventario11[[#This Row],[Cantidad de unidades por bulto]])</f>
        <v>1.25</v>
      </c>
      <c r="G13" s="9">
        <f>Inventario11[[#This Row],[Precio]]*Inventario11[[#This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IF(Inventario11[[#This Row],[Cantidad de unidades por bulto]]=0, 0, Inventario11[[#This Row],[Precio por bulto ($)]]/Inventario11[[#This Row],[Cantidad de unidades por bulto]])</f>
        <v>1.125</v>
      </c>
      <c r="G14" s="9">
        <f>Inventario11[[#This Row],[Precio]]*Inventario11[[#This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IF(Inventario11[[#This Row],[Cantidad de unidades por bulto]]=0, 0, Inventario11[[#This Row],[Precio por bulto ($)]]/Inventario11[[#This Row],[Cantidad de unidades por bulto]])</f>
        <v>0.69916666666666671</v>
      </c>
      <c r="G15" s="9">
        <f>Inventario11[[#This Row],[Precio]]*Inventario11[[#This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IF(Inventario11[[#This Row],[Cantidad de unidades por bulto]]=0, 0, Inventario11[[#This Row],[Precio por bulto ($)]]/Inventario11[[#This Row],[Cantidad de unidades por bulto]])</f>
        <v>1.125</v>
      </c>
      <c r="G16" s="9">
        <f>Inventario11[[#This Row],[Precio]]*Inventario11[[#This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IF(Inventario11[[#This Row],[Cantidad de unidades por bulto]]=0, 0, Inventario11[[#This Row],[Precio por bulto ($)]]/Inventario11[[#This Row],[Cantidad de unidades por bulto]])</f>
        <v>1.125</v>
      </c>
      <c r="G17" s="9">
        <f>Inventario11[[#This Row],[Precio]]*Inventario11[[#This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IF(Inventario11[[#This Row],[Cantidad de unidades por bulto]]=0, 0, Inventario11[[#This Row],[Precio por bulto ($)]]/Inventario11[[#This Row],[Cantidad de unidades por bulto]])</f>
        <v>0.63461538461538458</v>
      </c>
      <c r="G18" s="9">
        <f>Inventario11[[#This Row],[Precio]]*Inventario11[[#This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IF(Inventario11[[#This Row],[Cantidad de unidades por bulto]]=0, 0, Inventario11[[#This Row],[Precio por bulto ($)]]/Inventario11[[#This Row],[Cantidad de unidades por bulto]])</f>
        <v>0.10416666666666667</v>
      </c>
      <c r="G19" s="9">
        <f>Inventario11[[#This Row],[Precio]]*Inventario11[[#This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IF(Inventario11[[#This Row],[Cantidad de unidades por bulto]]=0, 0, Inventario11[[#This Row],[Precio por bulto ($)]]/Inventario11[[#This Row],[Cantidad de unidades por bulto]])</f>
        <v>2.6</v>
      </c>
      <c r="G20" s="9">
        <f>Inventario11[[#This Row],[Precio]]*Inventario11[[#This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IF(Inventario11[[#This Row],[Cantidad de unidades por bulto]]=0, 0, Inventario11[[#This Row],[Precio por bulto ($)]]/Inventario11[[#This Row],[Cantidad de unidades por bulto]])</f>
        <v>0.9</v>
      </c>
      <c r="G21" s="9">
        <f>Inventario11[[#This Row],[Precio]]*Inventario11[[#This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IF(Inventario11[[#This Row],[Cantidad de unidades por bulto]]=0, 0, Inventario11[[#This Row],[Precio por bulto ($)]]/Inventario11[[#This Row],[Cantidad de unidades por bulto]])</f>
        <v>45</v>
      </c>
      <c r="G22" s="9">
        <f>Inventario11[[#This Row],[Precio]]*Inventario11[[#This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IF(Inventario11[[#This Row],[Cantidad de unidades por bulto]]=0, 0, Inventario11[[#This Row],[Precio por bulto ($)]]/Inventario11[[#This Row],[Cantidad de unidades por bulto]])</f>
        <v>1.6</v>
      </c>
      <c r="G23" s="9">
        <f>Inventario11[[#This Row],[Precio]]*Inventario11[[#This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IF(Inventario11[[#This Row],[Cantidad de unidades por bulto]]=0, 0, Inventario11[[#This Row],[Precio por bulto ($)]]/Inventario11[[#This Row],[Cantidad de unidades por bulto]])</f>
        <v>0.22</v>
      </c>
      <c r="G24" s="9">
        <f>Inventario11[[#This Row],[Precio]]*Inventario11[[#This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IF(Inventario11[[#This Row],[Cantidad de unidades por bulto]]=0, 0, Inventario11[[#This Row],[Precio por bulto ($)]]/Inventario11[[#This Row],[Cantidad de unidades por bulto]])</f>
        <v>0.35166666666666663</v>
      </c>
      <c r="G25" s="9">
        <f>Inventario11[[#This Row],[Precio]]*Inventario11[[#This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IF(Inventario11[[#This Row],[Cantidad de unidades por bulto]]=0, 0, Inventario11[[#This Row],[Precio por bulto ($)]]/Inventario11[[#This Row],[Cantidad de unidades por bulto]])</f>
        <v>1.8</v>
      </c>
      <c r="G26" s="9">
        <f>Inventario11[[#This Row],[Precio]]*Inventario11[[#This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IF(Inventario11[[#This Row],[Cantidad de unidades por bulto]]=0, 0, Inventario11[[#This Row],[Precio por bulto ($)]]/Inventario11[[#This Row],[Cantidad de unidades por bulto]])</f>
        <v>3.625</v>
      </c>
      <c r="G27" s="9">
        <f>Inventario11[[#This Row],[Precio]]*Inventario11[[#This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IF(Inventario11[[#This Row],[Cantidad de unidades por bulto]]=0, 0, Inventario11[[#This Row],[Precio por bulto ($)]]/Inventario11[[#This Row],[Cantidad de unidades por bulto]])</f>
        <v>0.52083333333333337</v>
      </c>
      <c r="G28" s="9">
        <f>Inventario11[[#This Row],[Precio]]*Inventario11[[#This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IF(Inventario11[[#This Row],[Cantidad de unidades por bulto]]=0, 0, Inventario11[[#This Row],[Precio por bulto ($)]]/Inventario11[[#This Row],[Cantidad de unidades por bulto]])</f>
        <v>29</v>
      </c>
      <c r="G29" s="9">
        <f>Inventario11[[#This Row],[Precio]]*Inventario11[[#This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IF(Inventario11[[#This Row],[Cantidad de unidades por bulto]]=0, 0, Inventario11[[#This Row],[Precio por bulto ($)]]/Inventario11[[#This Row],[Cantidad de unidades por bulto]])</f>
        <v>0.52083333333333337</v>
      </c>
      <c r="G30" s="9">
        <f>Inventario11[[#This Row],[Precio]]*Inventario11[[#This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IF(Inventario11[[#This Row],[Cantidad de unidades por bulto]]=0, 0, Inventario11[[#This Row],[Precio por bulto ($)]]/Inventario11[[#This Row],[Cantidad de unidades por bulto]])</f>
        <v>0.375</v>
      </c>
      <c r="G31" s="9">
        <f>Inventario11[[#This Row],[Precio]]*Inventario11[[#This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IF(Inventario11[[#This Row],[Cantidad de unidades por bulto]]=0, 0, Inventario11[[#This Row],[Precio por bulto ($)]]/Inventario11[[#This Row],[Cantidad de unidades por bulto]])</f>
        <v>7.05</v>
      </c>
      <c r="G32" s="9">
        <f>Inventario11[[#This Row],[Precio]]*Inventario11[[#This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IF(Inventario11[[#This Row],[Cantidad de unidades por bulto]]=0, 0, Inventario11[[#This Row],[Precio por bulto ($)]]/Inventario11[[#This Row],[Cantidad de unidades por bulto]])</f>
        <v>7.05</v>
      </c>
      <c r="G33" s="9">
        <f>Inventario11[[#This Row],[Precio]]*Inventario11[[#This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IF(Inventario11[[#This Row],[Cantidad de unidades por bulto]]=0, 0, Inventario11[[#This Row],[Precio por bulto ($)]]/Inventario11[[#This Row],[Cantidad de unidades por bulto]])</f>
        <v>7.05</v>
      </c>
      <c r="G34" s="9">
        <f>Inventario11[[#This Row],[Precio]]*Inventario11[[#This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IF(Inventario11[[#This Row],[Cantidad de unidades por bulto]]=0, 0, Inventario11[[#This Row],[Precio por bulto ($)]]/Inventario11[[#This Row],[Cantidad de unidades por bulto]])</f>
        <v>1.95</v>
      </c>
      <c r="G35" s="9">
        <f>Inventario11[[#This Row],[Precio]]*Inventario11[[#This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IF(Inventario11[[#This Row],[Cantidad de unidades por bulto]]=0, 0, Inventario11[[#This Row],[Precio por bulto ($)]]/Inventario11[[#This Row],[Cantidad de unidades por bulto]])</f>
        <v>0.3</v>
      </c>
      <c r="G36" s="9">
        <f>Inventario11[[#This Row],[Precio]]*Inventario11[[#This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IF(Inventario11[[#This Row],[Cantidad de unidades por bulto]]=0, 0, Inventario11[[#This Row],[Precio por bulto ($)]]/Inventario11[[#This Row],[Cantidad de unidades por bulto]])</f>
        <v>13.5</v>
      </c>
      <c r="G37" s="9">
        <f>Inventario11[[#This Row],[Precio]]*Inventario11[[#This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IF(Inventario11[[#This Row],[Cantidad de unidades por bulto]]=0, 0, Inventario11[[#This Row],[Precio por bulto ($)]]/Inventario11[[#This Row],[Cantidad de unidades por bulto]])</f>
        <v>11</v>
      </c>
      <c r="G38" s="9">
        <f>Inventario11[[#This Row],[Precio]]*Inventario11[[#This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IF(Inventario11[[#This Row],[Cantidad de unidades por bulto]]=0, 0, Inventario11[[#This Row],[Precio por bulto ($)]]/Inventario11[[#This Row],[Cantidad de unidades por bulto]])</f>
        <v>0.5625</v>
      </c>
      <c r="G39" s="9">
        <f>Inventario11[[#This Row],[Precio]]*Inventario11[[#This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IF(Inventario11[[#This Row],[Cantidad de unidades por bulto]]=0, 0, Inventario11[[#This Row],[Precio por bulto ($)]]/Inventario11[[#This Row],[Cantidad de unidades por bulto]])</f>
        <v>2</v>
      </c>
      <c r="G40" s="9">
        <f>Inventario11[[#This Row],[Precio]]*Inventario11[[#This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ADFE7-A091-42E2-BD6D-209E98893395}">
  <sheetPr codeName="Hoja10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SUM(Inventario10[Importe])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IF(Inventario10[[#This Row],[Cantidad de unidades por bulto]]=0, 0, Inventario10[[#This Row],[Precio por bulto ($)]]/Inventario10[[#This Row],[Cantidad de unidades por bulto]])</f>
        <v>1.25</v>
      </c>
      <c r="G2" s="9">
        <f>Inventario10[[#This Row],[Precio]]*Inventario10[[#This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IF(Inventario10[[#This Row],[Cantidad de unidades por bulto]]=0, 0, Inventario10[[#This Row],[Precio por bulto ($)]]/Inventario10[[#This Row],[Cantidad de unidades por bulto]])</f>
        <v>1.2250000000000001</v>
      </c>
      <c r="G3" s="9">
        <f>Inventario10[[#This Row],[Precio]]*Inventario10[[#This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IF(Inventario10[[#This Row],[Cantidad de unidades por bulto]]=0, 0, Inventario10[[#This Row],[Precio por bulto ($)]]/Inventario10[[#This Row],[Cantidad de unidades por bulto]])</f>
        <v>0.81</v>
      </c>
      <c r="G4" s="9">
        <f>Inventario10[[#This Row],[Precio]]*Inventario10[[#This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IF(Inventario10[[#This Row],[Cantidad de unidades por bulto]]=0, 0, Inventario10[[#This Row],[Precio por bulto ($)]]/Inventario10[[#This Row],[Cantidad de unidades por bulto]])</f>
        <v>0.8</v>
      </c>
      <c r="G5" s="9">
        <f>Inventario10[[#This Row],[Precio]]*Inventario10[[#This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IF(Inventario10[[#This Row],[Cantidad de unidades por bulto]]=0, 0, Inventario10[[#This Row],[Precio por bulto ($)]]/Inventario10[[#This Row],[Cantidad de unidades por bulto]])</f>
        <v>0.81</v>
      </c>
      <c r="G6" s="9">
        <f>Inventario10[[#This Row],[Precio]]*Inventario10[[#This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IF(Inventario10[[#This Row],[Cantidad de unidades por bulto]]=0, 0, Inventario10[[#This Row],[Precio por bulto ($)]]/Inventario10[[#This Row],[Cantidad de unidades por bulto]])</f>
        <v>0.8773333333333333</v>
      </c>
      <c r="G7" s="9">
        <f>Inventario10[[#This Row],[Precio]]*Inventario10[[#This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IF(Inventario10[[#This Row],[Cantidad de unidades por bulto]]=0, 0, Inventario10[[#This Row],[Precio por bulto ($)]]/Inventario10[[#This Row],[Cantidad de unidades por bulto]])</f>
        <v>0.75</v>
      </c>
      <c r="G8" s="9">
        <f>Inventario10[[#This Row],[Precio]]*Inventario10[[#This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IF(Inventario10[[#This Row],[Cantidad de unidades por bulto]]=0, 0, Inventario10[[#This Row],[Precio por bulto ($)]]/Inventario10[[#This Row],[Cantidad de unidades por bulto]])</f>
        <v>0.75</v>
      </c>
      <c r="G9" s="9">
        <f>Inventario10[[#This Row],[Precio]]*Inventario10[[#This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IF(Inventario10[[#This Row],[Cantidad de unidades por bulto]]=0, 0, Inventario10[[#This Row],[Precio por bulto ($)]]/Inventario10[[#This Row],[Cantidad de unidades por bulto]])</f>
        <v>1.25</v>
      </c>
      <c r="G10" s="9">
        <f>Inventario10[[#This Row],[Precio]]*Inventario10[[#This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IF(Inventario10[[#This Row],[Cantidad de unidades por bulto]]=0, 0, Inventario10[[#This Row],[Precio por bulto ($)]]/Inventario10[[#This Row],[Cantidad de unidades por bulto]])</f>
        <v>11</v>
      </c>
      <c r="G11" s="9">
        <f>Inventario10[[#This Row],[Precio]]*Inventario10[[#This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IF(Inventario10[[#This Row],[Cantidad de unidades por bulto]]=0, 0, Inventario10[[#This Row],[Precio por bulto ($)]]/Inventario10[[#This Row],[Cantidad de unidades por bulto]])</f>
        <v>11</v>
      </c>
      <c r="G12" s="9">
        <f>Inventario10[[#This Row],[Precio]]*Inventario10[[#This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IF(Inventario10[[#This Row],[Cantidad de unidades por bulto]]=0, 0, Inventario10[[#This Row],[Precio por bulto ($)]]/Inventario10[[#This Row],[Cantidad de unidades por bulto]])</f>
        <v>1.25</v>
      </c>
      <c r="G13" s="9">
        <f>Inventario10[[#This Row],[Precio]]*Inventario10[[#This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IF(Inventario10[[#This Row],[Cantidad de unidades por bulto]]=0, 0, Inventario10[[#This Row],[Precio por bulto ($)]]/Inventario10[[#This Row],[Cantidad de unidades por bulto]])</f>
        <v>1.125</v>
      </c>
      <c r="G14" s="9">
        <f>Inventario10[[#This Row],[Precio]]*Inventario10[[#This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IF(Inventario10[[#This Row],[Cantidad de unidades por bulto]]=0, 0, Inventario10[[#This Row],[Precio por bulto ($)]]/Inventario10[[#This Row],[Cantidad de unidades por bulto]])</f>
        <v>0.69916666666666671</v>
      </c>
      <c r="G15" s="9">
        <f>Inventario10[[#This Row],[Precio]]*Inventario10[[#This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IF(Inventario10[[#This Row],[Cantidad de unidades por bulto]]=0, 0, Inventario10[[#This Row],[Precio por bulto ($)]]/Inventario10[[#This Row],[Cantidad de unidades por bulto]])</f>
        <v>1.125</v>
      </c>
      <c r="G16" s="9">
        <f>Inventario10[[#This Row],[Precio]]*Inventario10[[#This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IF(Inventario10[[#This Row],[Cantidad de unidades por bulto]]=0, 0, Inventario10[[#This Row],[Precio por bulto ($)]]/Inventario10[[#This Row],[Cantidad de unidades por bulto]])</f>
        <v>1.125</v>
      </c>
      <c r="G17" s="9">
        <f>Inventario10[[#This Row],[Precio]]*Inventario10[[#This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IF(Inventario10[[#This Row],[Cantidad de unidades por bulto]]=0, 0, Inventario10[[#This Row],[Precio por bulto ($)]]/Inventario10[[#This Row],[Cantidad de unidades por bulto]])</f>
        <v>0.63461538461538458</v>
      </c>
      <c r="G18" s="9">
        <f>Inventario10[[#This Row],[Precio]]*Inventario10[[#This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IF(Inventario10[[#This Row],[Cantidad de unidades por bulto]]=0, 0, Inventario10[[#This Row],[Precio por bulto ($)]]/Inventario10[[#This Row],[Cantidad de unidades por bulto]])</f>
        <v>0.10416666666666667</v>
      </c>
      <c r="G19" s="9">
        <f>Inventario10[[#This Row],[Precio]]*Inventario10[[#This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IF(Inventario10[[#This Row],[Cantidad de unidades por bulto]]=0, 0, Inventario10[[#This Row],[Precio por bulto ($)]]/Inventario10[[#This Row],[Cantidad de unidades por bulto]])</f>
        <v>2.6</v>
      </c>
      <c r="G20" s="9">
        <f>Inventario10[[#This Row],[Precio]]*Inventario10[[#This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IF(Inventario10[[#This Row],[Cantidad de unidades por bulto]]=0, 0, Inventario10[[#This Row],[Precio por bulto ($)]]/Inventario10[[#This Row],[Cantidad de unidades por bulto]])</f>
        <v>0.9</v>
      </c>
      <c r="G21" s="9">
        <f>Inventario10[[#This Row],[Precio]]*Inventario10[[#This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IF(Inventario10[[#This Row],[Cantidad de unidades por bulto]]=0, 0, Inventario10[[#This Row],[Precio por bulto ($)]]/Inventario10[[#This Row],[Cantidad de unidades por bulto]])</f>
        <v>45</v>
      </c>
      <c r="G22" s="9">
        <f>Inventario10[[#This Row],[Precio]]*Inventario10[[#This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IF(Inventario10[[#This Row],[Cantidad de unidades por bulto]]=0, 0, Inventario10[[#This Row],[Precio por bulto ($)]]/Inventario10[[#This Row],[Cantidad de unidades por bulto]])</f>
        <v>1.6</v>
      </c>
      <c r="G23" s="9">
        <f>Inventario10[[#This Row],[Precio]]*Inventario10[[#This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IF(Inventario10[[#This Row],[Cantidad de unidades por bulto]]=0, 0, Inventario10[[#This Row],[Precio por bulto ($)]]/Inventario10[[#This Row],[Cantidad de unidades por bulto]])</f>
        <v>0.22</v>
      </c>
      <c r="G24" s="9">
        <f>Inventario10[[#This Row],[Precio]]*Inventario10[[#This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IF(Inventario10[[#This Row],[Cantidad de unidades por bulto]]=0, 0, Inventario10[[#This Row],[Precio por bulto ($)]]/Inventario10[[#This Row],[Cantidad de unidades por bulto]])</f>
        <v>0.35166666666666663</v>
      </c>
      <c r="G25" s="9">
        <f>Inventario10[[#This Row],[Precio]]*Inventario10[[#This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IF(Inventario10[[#This Row],[Cantidad de unidades por bulto]]=0, 0, Inventario10[[#This Row],[Precio por bulto ($)]]/Inventario10[[#This Row],[Cantidad de unidades por bulto]])</f>
        <v>1.8</v>
      </c>
      <c r="G26" s="9">
        <f>Inventario10[[#This Row],[Precio]]*Inventario10[[#This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IF(Inventario10[[#This Row],[Cantidad de unidades por bulto]]=0, 0, Inventario10[[#This Row],[Precio por bulto ($)]]/Inventario10[[#This Row],[Cantidad de unidades por bulto]])</f>
        <v>3.625</v>
      </c>
      <c r="G27" s="9">
        <f>Inventario10[[#This Row],[Precio]]*Inventario10[[#This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IF(Inventario10[[#This Row],[Cantidad de unidades por bulto]]=0, 0, Inventario10[[#This Row],[Precio por bulto ($)]]/Inventario10[[#This Row],[Cantidad de unidades por bulto]])</f>
        <v>0.52083333333333337</v>
      </c>
      <c r="G28" s="9">
        <f>Inventario10[[#This Row],[Precio]]*Inventario10[[#This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IF(Inventario10[[#This Row],[Cantidad de unidades por bulto]]=0, 0, Inventario10[[#This Row],[Precio por bulto ($)]]/Inventario10[[#This Row],[Cantidad de unidades por bulto]])</f>
        <v>29</v>
      </c>
      <c r="G29" s="9">
        <f>Inventario10[[#This Row],[Precio]]*Inventario10[[#This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IF(Inventario10[[#This Row],[Cantidad de unidades por bulto]]=0, 0, Inventario10[[#This Row],[Precio por bulto ($)]]/Inventario10[[#This Row],[Cantidad de unidades por bulto]])</f>
        <v>0.52083333333333337</v>
      </c>
      <c r="G30" s="9">
        <f>Inventario10[[#This Row],[Precio]]*Inventario10[[#This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IF(Inventario10[[#This Row],[Cantidad de unidades por bulto]]=0, 0, Inventario10[[#This Row],[Precio por bulto ($)]]/Inventario10[[#This Row],[Cantidad de unidades por bulto]])</f>
        <v>0.375</v>
      </c>
      <c r="G31" s="9">
        <f>Inventario10[[#This Row],[Precio]]*Inventario10[[#This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IF(Inventario10[[#This Row],[Cantidad de unidades por bulto]]=0, 0, Inventario10[[#This Row],[Precio por bulto ($)]]/Inventario10[[#This Row],[Cantidad de unidades por bulto]])</f>
        <v>7.05</v>
      </c>
      <c r="G32" s="9">
        <f>Inventario10[[#This Row],[Precio]]*Inventario10[[#This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IF(Inventario10[[#This Row],[Cantidad de unidades por bulto]]=0, 0, Inventario10[[#This Row],[Precio por bulto ($)]]/Inventario10[[#This Row],[Cantidad de unidades por bulto]])</f>
        <v>7.05</v>
      </c>
      <c r="G33" s="9">
        <f>Inventario10[[#This Row],[Precio]]*Inventario10[[#This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IF(Inventario10[[#This Row],[Cantidad de unidades por bulto]]=0, 0, Inventario10[[#This Row],[Precio por bulto ($)]]/Inventario10[[#This Row],[Cantidad de unidades por bulto]])</f>
        <v>7.05</v>
      </c>
      <c r="G34" s="9">
        <f>Inventario10[[#This Row],[Precio]]*Inventario10[[#This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IF(Inventario10[[#This Row],[Cantidad de unidades por bulto]]=0, 0, Inventario10[[#This Row],[Precio por bulto ($)]]/Inventario10[[#This Row],[Cantidad de unidades por bulto]])</f>
        <v>1.95</v>
      </c>
      <c r="G35" s="9">
        <f>Inventario10[[#This Row],[Precio]]*Inventario10[[#This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IF(Inventario10[[#This Row],[Cantidad de unidades por bulto]]=0, 0, Inventario10[[#This Row],[Precio por bulto ($)]]/Inventario10[[#This Row],[Cantidad de unidades por bulto]])</f>
        <v>0.3</v>
      </c>
      <c r="G36" s="9">
        <f>Inventario10[[#This Row],[Precio]]*Inventario10[[#This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IF(Inventario10[[#This Row],[Cantidad de unidades por bulto]]=0, 0, Inventario10[[#This Row],[Precio por bulto ($)]]/Inventario10[[#This Row],[Cantidad de unidades por bulto]])</f>
        <v>13.5</v>
      </c>
      <c r="G37" s="9">
        <f>Inventario10[[#This Row],[Precio]]*Inventario10[[#This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IF(Inventario10[[#This Row],[Cantidad de unidades por bulto]]=0, 0, Inventario10[[#This Row],[Precio por bulto ($)]]/Inventario10[[#This Row],[Cantidad de unidades por bulto]])</f>
        <v>11</v>
      </c>
      <c r="G38" s="9">
        <f>Inventario10[[#This Row],[Precio]]*Inventario10[[#This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IF(Inventario10[[#This Row],[Cantidad de unidades por bulto]]=0, 0, Inventario10[[#This Row],[Precio por bulto ($)]]/Inventario10[[#This Row],[Cantidad de unidades por bulto]])</f>
        <v>0.5625</v>
      </c>
      <c r="G39" s="9">
        <f>Inventario10[[#This Row],[Precio]]*Inventario10[[#This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IF(Inventario10[[#This Row],[Cantidad de unidades por bulto]]=0, 0, Inventario10[[#This Row],[Precio por bulto ($)]]/Inventario10[[#This Row],[Cantidad de unidades por bulto]])</f>
        <v>2</v>
      </c>
      <c r="G40" s="9">
        <f>Inventario10[[#This Row],[Precio]]*Inventario10[[#This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CEB4A-E262-42CF-868F-8361C98C410C}">
  <sheetPr codeName="Hoja9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SUM(Inventario9[Importe])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IF(Inventario9[[#This Row],[Cantidad de unidades por bulto]]=0, 0, Inventario9[[#This Row],[Precio por bulto ($)]]/Inventario9[[#This Row],[Cantidad de unidades por bulto]])</f>
        <v>1.25</v>
      </c>
      <c r="G2" s="9">
        <f>Inventario9[[#This Row],[Precio]]*Inventario9[[#This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IF(Inventario9[[#This Row],[Cantidad de unidades por bulto]]=0, 0, Inventario9[[#This Row],[Precio por bulto ($)]]/Inventario9[[#This Row],[Cantidad de unidades por bulto]])</f>
        <v>1.2250000000000001</v>
      </c>
      <c r="G3" s="9">
        <f>Inventario9[[#This Row],[Precio]]*Inventario9[[#This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IF(Inventario9[[#This Row],[Cantidad de unidades por bulto]]=0, 0, Inventario9[[#This Row],[Precio por bulto ($)]]/Inventario9[[#This Row],[Cantidad de unidades por bulto]])</f>
        <v>0.81</v>
      </c>
      <c r="G4" s="9">
        <f>Inventario9[[#This Row],[Precio]]*Inventario9[[#This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IF(Inventario9[[#This Row],[Cantidad de unidades por bulto]]=0, 0, Inventario9[[#This Row],[Precio por bulto ($)]]/Inventario9[[#This Row],[Cantidad de unidades por bulto]])</f>
        <v>0.8</v>
      </c>
      <c r="G5" s="9">
        <f>Inventario9[[#This Row],[Precio]]*Inventario9[[#This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IF(Inventario9[[#This Row],[Cantidad de unidades por bulto]]=0, 0, Inventario9[[#This Row],[Precio por bulto ($)]]/Inventario9[[#This Row],[Cantidad de unidades por bulto]])</f>
        <v>0.81</v>
      </c>
      <c r="G6" s="9">
        <f>Inventario9[[#This Row],[Precio]]*Inventario9[[#This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IF(Inventario9[[#This Row],[Cantidad de unidades por bulto]]=0, 0, Inventario9[[#This Row],[Precio por bulto ($)]]/Inventario9[[#This Row],[Cantidad de unidades por bulto]])</f>
        <v>0.8773333333333333</v>
      </c>
      <c r="G7" s="9">
        <f>Inventario9[[#This Row],[Precio]]*Inventario9[[#This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IF(Inventario9[[#This Row],[Cantidad de unidades por bulto]]=0, 0, Inventario9[[#This Row],[Precio por bulto ($)]]/Inventario9[[#This Row],[Cantidad de unidades por bulto]])</f>
        <v>0.75</v>
      </c>
      <c r="G8" s="9">
        <f>Inventario9[[#This Row],[Precio]]*Inventario9[[#This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IF(Inventario9[[#This Row],[Cantidad de unidades por bulto]]=0, 0, Inventario9[[#This Row],[Precio por bulto ($)]]/Inventario9[[#This Row],[Cantidad de unidades por bulto]])</f>
        <v>0.75</v>
      </c>
      <c r="G9" s="9">
        <f>Inventario9[[#This Row],[Precio]]*Inventario9[[#This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IF(Inventario9[[#This Row],[Cantidad de unidades por bulto]]=0, 0, Inventario9[[#This Row],[Precio por bulto ($)]]/Inventario9[[#This Row],[Cantidad de unidades por bulto]])</f>
        <v>1.25</v>
      </c>
      <c r="G10" s="9">
        <f>Inventario9[[#This Row],[Precio]]*Inventario9[[#This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IF(Inventario9[[#This Row],[Cantidad de unidades por bulto]]=0, 0, Inventario9[[#This Row],[Precio por bulto ($)]]/Inventario9[[#This Row],[Cantidad de unidades por bulto]])</f>
        <v>11</v>
      </c>
      <c r="G11" s="9">
        <f>Inventario9[[#This Row],[Precio]]*Inventario9[[#This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IF(Inventario9[[#This Row],[Cantidad de unidades por bulto]]=0, 0, Inventario9[[#This Row],[Precio por bulto ($)]]/Inventario9[[#This Row],[Cantidad de unidades por bulto]])</f>
        <v>11</v>
      </c>
      <c r="G12" s="9">
        <f>Inventario9[[#This Row],[Precio]]*Inventario9[[#This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IF(Inventario9[[#This Row],[Cantidad de unidades por bulto]]=0, 0, Inventario9[[#This Row],[Precio por bulto ($)]]/Inventario9[[#This Row],[Cantidad de unidades por bulto]])</f>
        <v>1.25</v>
      </c>
      <c r="G13" s="9">
        <f>Inventario9[[#This Row],[Precio]]*Inventario9[[#This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IF(Inventario9[[#This Row],[Cantidad de unidades por bulto]]=0, 0, Inventario9[[#This Row],[Precio por bulto ($)]]/Inventario9[[#This Row],[Cantidad de unidades por bulto]])</f>
        <v>1.125</v>
      </c>
      <c r="G14" s="9">
        <f>Inventario9[[#This Row],[Precio]]*Inventario9[[#This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IF(Inventario9[[#This Row],[Cantidad de unidades por bulto]]=0, 0, Inventario9[[#This Row],[Precio por bulto ($)]]/Inventario9[[#This Row],[Cantidad de unidades por bulto]])</f>
        <v>0.69916666666666671</v>
      </c>
      <c r="G15" s="9">
        <f>Inventario9[[#This Row],[Precio]]*Inventario9[[#This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IF(Inventario9[[#This Row],[Cantidad de unidades por bulto]]=0, 0, Inventario9[[#This Row],[Precio por bulto ($)]]/Inventario9[[#This Row],[Cantidad de unidades por bulto]])</f>
        <v>1.125</v>
      </c>
      <c r="G16" s="9">
        <f>Inventario9[[#This Row],[Precio]]*Inventario9[[#This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IF(Inventario9[[#This Row],[Cantidad de unidades por bulto]]=0, 0, Inventario9[[#This Row],[Precio por bulto ($)]]/Inventario9[[#This Row],[Cantidad de unidades por bulto]])</f>
        <v>1.125</v>
      </c>
      <c r="G17" s="9">
        <f>Inventario9[[#This Row],[Precio]]*Inventario9[[#This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IF(Inventario9[[#This Row],[Cantidad de unidades por bulto]]=0, 0, Inventario9[[#This Row],[Precio por bulto ($)]]/Inventario9[[#This Row],[Cantidad de unidades por bulto]])</f>
        <v>0.63461538461538458</v>
      </c>
      <c r="G18" s="9">
        <f>Inventario9[[#This Row],[Precio]]*Inventario9[[#This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IF(Inventario9[[#This Row],[Cantidad de unidades por bulto]]=0, 0, Inventario9[[#This Row],[Precio por bulto ($)]]/Inventario9[[#This Row],[Cantidad de unidades por bulto]])</f>
        <v>0.10416666666666667</v>
      </c>
      <c r="G19" s="9">
        <f>Inventario9[[#This Row],[Precio]]*Inventario9[[#This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IF(Inventario9[[#This Row],[Cantidad de unidades por bulto]]=0, 0, Inventario9[[#This Row],[Precio por bulto ($)]]/Inventario9[[#This Row],[Cantidad de unidades por bulto]])</f>
        <v>2.6</v>
      </c>
      <c r="G20" s="9">
        <f>Inventario9[[#This Row],[Precio]]*Inventario9[[#This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IF(Inventario9[[#This Row],[Cantidad de unidades por bulto]]=0, 0, Inventario9[[#This Row],[Precio por bulto ($)]]/Inventario9[[#This Row],[Cantidad de unidades por bulto]])</f>
        <v>0.9</v>
      </c>
      <c r="G21" s="9">
        <f>Inventario9[[#This Row],[Precio]]*Inventario9[[#This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IF(Inventario9[[#This Row],[Cantidad de unidades por bulto]]=0, 0, Inventario9[[#This Row],[Precio por bulto ($)]]/Inventario9[[#This Row],[Cantidad de unidades por bulto]])</f>
        <v>45</v>
      </c>
      <c r="G22" s="9">
        <f>Inventario9[[#This Row],[Precio]]*Inventario9[[#This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IF(Inventario9[[#This Row],[Cantidad de unidades por bulto]]=0, 0, Inventario9[[#This Row],[Precio por bulto ($)]]/Inventario9[[#This Row],[Cantidad de unidades por bulto]])</f>
        <v>1.6</v>
      </c>
      <c r="G23" s="9">
        <f>Inventario9[[#This Row],[Precio]]*Inventario9[[#This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IF(Inventario9[[#This Row],[Cantidad de unidades por bulto]]=0, 0, Inventario9[[#This Row],[Precio por bulto ($)]]/Inventario9[[#This Row],[Cantidad de unidades por bulto]])</f>
        <v>0.22</v>
      </c>
      <c r="G24" s="9">
        <f>Inventario9[[#This Row],[Precio]]*Inventario9[[#This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IF(Inventario9[[#This Row],[Cantidad de unidades por bulto]]=0, 0, Inventario9[[#This Row],[Precio por bulto ($)]]/Inventario9[[#This Row],[Cantidad de unidades por bulto]])</f>
        <v>0.35166666666666663</v>
      </c>
      <c r="G25" s="9">
        <f>Inventario9[[#This Row],[Precio]]*Inventario9[[#This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IF(Inventario9[[#This Row],[Cantidad de unidades por bulto]]=0, 0, Inventario9[[#This Row],[Precio por bulto ($)]]/Inventario9[[#This Row],[Cantidad de unidades por bulto]])</f>
        <v>1.8</v>
      </c>
      <c r="G26" s="9">
        <f>Inventario9[[#This Row],[Precio]]*Inventario9[[#This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IF(Inventario9[[#This Row],[Cantidad de unidades por bulto]]=0, 0, Inventario9[[#This Row],[Precio por bulto ($)]]/Inventario9[[#This Row],[Cantidad de unidades por bulto]])</f>
        <v>3.625</v>
      </c>
      <c r="G27" s="9">
        <f>Inventario9[[#This Row],[Precio]]*Inventario9[[#This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IF(Inventario9[[#This Row],[Cantidad de unidades por bulto]]=0, 0, Inventario9[[#This Row],[Precio por bulto ($)]]/Inventario9[[#This Row],[Cantidad de unidades por bulto]])</f>
        <v>0.52083333333333337</v>
      </c>
      <c r="G28" s="9">
        <f>Inventario9[[#This Row],[Precio]]*Inventario9[[#This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IF(Inventario9[[#This Row],[Cantidad de unidades por bulto]]=0, 0, Inventario9[[#This Row],[Precio por bulto ($)]]/Inventario9[[#This Row],[Cantidad de unidades por bulto]])</f>
        <v>29</v>
      </c>
      <c r="G29" s="9">
        <f>Inventario9[[#This Row],[Precio]]*Inventario9[[#This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IF(Inventario9[[#This Row],[Cantidad de unidades por bulto]]=0, 0, Inventario9[[#This Row],[Precio por bulto ($)]]/Inventario9[[#This Row],[Cantidad de unidades por bulto]])</f>
        <v>0.52083333333333337</v>
      </c>
      <c r="G30" s="9">
        <f>Inventario9[[#This Row],[Precio]]*Inventario9[[#This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IF(Inventario9[[#This Row],[Cantidad de unidades por bulto]]=0, 0, Inventario9[[#This Row],[Precio por bulto ($)]]/Inventario9[[#This Row],[Cantidad de unidades por bulto]])</f>
        <v>0.375</v>
      </c>
      <c r="G31" s="9">
        <f>Inventario9[[#This Row],[Precio]]*Inventario9[[#This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IF(Inventario9[[#This Row],[Cantidad de unidades por bulto]]=0, 0, Inventario9[[#This Row],[Precio por bulto ($)]]/Inventario9[[#This Row],[Cantidad de unidades por bulto]])</f>
        <v>7.05</v>
      </c>
      <c r="G32" s="9">
        <f>Inventario9[[#This Row],[Precio]]*Inventario9[[#This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IF(Inventario9[[#This Row],[Cantidad de unidades por bulto]]=0, 0, Inventario9[[#This Row],[Precio por bulto ($)]]/Inventario9[[#This Row],[Cantidad de unidades por bulto]])</f>
        <v>7.05</v>
      </c>
      <c r="G33" s="9">
        <f>Inventario9[[#This Row],[Precio]]*Inventario9[[#This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IF(Inventario9[[#This Row],[Cantidad de unidades por bulto]]=0, 0, Inventario9[[#This Row],[Precio por bulto ($)]]/Inventario9[[#This Row],[Cantidad de unidades por bulto]])</f>
        <v>7.05</v>
      </c>
      <c r="G34" s="9">
        <f>Inventario9[[#This Row],[Precio]]*Inventario9[[#This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IF(Inventario9[[#This Row],[Cantidad de unidades por bulto]]=0, 0, Inventario9[[#This Row],[Precio por bulto ($)]]/Inventario9[[#This Row],[Cantidad de unidades por bulto]])</f>
        <v>1.95</v>
      </c>
      <c r="G35" s="9">
        <f>Inventario9[[#This Row],[Precio]]*Inventario9[[#This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IF(Inventario9[[#This Row],[Cantidad de unidades por bulto]]=0, 0, Inventario9[[#This Row],[Precio por bulto ($)]]/Inventario9[[#This Row],[Cantidad de unidades por bulto]])</f>
        <v>0.3</v>
      </c>
      <c r="G36" s="9">
        <f>Inventario9[[#This Row],[Precio]]*Inventario9[[#This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IF(Inventario9[[#This Row],[Cantidad de unidades por bulto]]=0, 0, Inventario9[[#This Row],[Precio por bulto ($)]]/Inventario9[[#This Row],[Cantidad de unidades por bulto]])</f>
        <v>13.5</v>
      </c>
      <c r="G37" s="9">
        <f>Inventario9[[#This Row],[Precio]]*Inventario9[[#This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IF(Inventario9[[#This Row],[Cantidad de unidades por bulto]]=0, 0, Inventario9[[#This Row],[Precio por bulto ($)]]/Inventario9[[#This Row],[Cantidad de unidades por bulto]])</f>
        <v>11</v>
      </c>
      <c r="G38" s="9">
        <f>Inventario9[[#This Row],[Precio]]*Inventario9[[#This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IF(Inventario9[[#This Row],[Cantidad de unidades por bulto]]=0, 0, Inventario9[[#This Row],[Precio por bulto ($)]]/Inventario9[[#This Row],[Cantidad de unidades por bulto]])</f>
        <v>0.5625</v>
      </c>
      <c r="G39" s="9">
        <f>Inventario9[[#This Row],[Precio]]*Inventario9[[#This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IF(Inventario9[[#This Row],[Cantidad de unidades por bulto]]=0, 0, Inventario9[[#This Row],[Precio por bulto ($)]]/Inventario9[[#This Row],[Cantidad de unidades por bulto]])</f>
        <v>2</v>
      </c>
      <c r="G40" s="9">
        <f>Inventario9[[#This Row],[Precio]]*Inventario9[[#This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6704-BE24-48B1-BE54-F46D38331815}">
  <sheetPr codeName="Hoja8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SUM(Inventario8[Importe])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IF(Inventario8[[#This Row],[Cantidad de unidades por bulto]]=0, 0, Inventario8[[#This Row],[Precio por bulto ($)]]/Inventario8[[#This Row],[Cantidad de unidades por bulto]])</f>
        <v>1.25</v>
      </c>
      <c r="G2" s="9">
        <f>Inventario8[[#This Row],[Precio]]*Inventario8[[#This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IF(Inventario8[[#This Row],[Cantidad de unidades por bulto]]=0, 0, Inventario8[[#This Row],[Precio por bulto ($)]]/Inventario8[[#This Row],[Cantidad de unidades por bulto]])</f>
        <v>1.2250000000000001</v>
      </c>
      <c r="G3" s="9">
        <f>Inventario8[[#This Row],[Precio]]*Inventario8[[#This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IF(Inventario8[[#This Row],[Cantidad de unidades por bulto]]=0, 0, Inventario8[[#This Row],[Precio por bulto ($)]]/Inventario8[[#This Row],[Cantidad de unidades por bulto]])</f>
        <v>0.81</v>
      </c>
      <c r="G4" s="9">
        <f>Inventario8[[#This Row],[Precio]]*Inventario8[[#This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IF(Inventario8[[#This Row],[Cantidad de unidades por bulto]]=0, 0, Inventario8[[#This Row],[Precio por bulto ($)]]/Inventario8[[#This Row],[Cantidad de unidades por bulto]])</f>
        <v>0.8</v>
      </c>
      <c r="G5" s="9">
        <f>Inventario8[[#This Row],[Precio]]*Inventario8[[#This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IF(Inventario8[[#This Row],[Cantidad de unidades por bulto]]=0, 0, Inventario8[[#This Row],[Precio por bulto ($)]]/Inventario8[[#This Row],[Cantidad de unidades por bulto]])</f>
        <v>0.81</v>
      </c>
      <c r="G6" s="9">
        <f>Inventario8[[#This Row],[Precio]]*Inventario8[[#This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IF(Inventario8[[#This Row],[Cantidad de unidades por bulto]]=0, 0, Inventario8[[#This Row],[Precio por bulto ($)]]/Inventario8[[#This Row],[Cantidad de unidades por bulto]])</f>
        <v>0.8773333333333333</v>
      </c>
      <c r="G7" s="9">
        <f>Inventario8[[#This Row],[Precio]]*Inventario8[[#This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IF(Inventario8[[#This Row],[Cantidad de unidades por bulto]]=0, 0, Inventario8[[#This Row],[Precio por bulto ($)]]/Inventario8[[#This Row],[Cantidad de unidades por bulto]])</f>
        <v>0.75</v>
      </c>
      <c r="G8" s="9">
        <f>Inventario8[[#This Row],[Precio]]*Inventario8[[#This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IF(Inventario8[[#This Row],[Cantidad de unidades por bulto]]=0, 0, Inventario8[[#This Row],[Precio por bulto ($)]]/Inventario8[[#This Row],[Cantidad de unidades por bulto]])</f>
        <v>0.75</v>
      </c>
      <c r="G9" s="9">
        <f>Inventario8[[#This Row],[Precio]]*Inventario8[[#This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IF(Inventario8[[#This Row],[Cantidad de unidades por bulto]]=0, 0, Inventario8[[#This Row],[Precio por bulto ($)]]/Inventario8[[#This Row],[Cantidad de unidades por bulto]])</f>
        <v>1.25</v>
      </c>
      <c r="G10" s="9">
        <f>Inventario8[[#This Row],[Precio]]*Inventario8[[#This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IF(Inventario8[[#This Row],[Cantidad de unidades por bulto]]=0, 0, Inventario8[[#This Row],[Precio por bulto ($)]]/Inventario8[[#This Row],[Cantidad de unidades por bulto]])</f>
        <v>11</v>
      </c>
      <c r="G11" s="9">
        <f>Inventario8[[#This Row],[Precio]]*Inventario8[[#This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IF(Inventario8[[#This Row],[Cantidad de unidades por bulto]]=0, 0, Inventario8[[#This Row],[Precio por bulto ($)]]/Inventario8[[#This Row],[Cantidad de unidades por bulto]])</f>
        <v>11</v>
      </c>
      <c r="G12" s="9">
        <f>Inventario8[[#This Row],[Precio]]*Inventario8[[#This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IF(Inventario8[[#This Row],[Cantidad de unidades por bulto]]=0, 0, Inventario8[[#This Row],[Precio por bulto ($)]]/Inventario8[[#This Row],[Cantidad de unidades por bulto]])</f>
        <v>1.25</v>
      </c>
      <c r="G13" s="9">
        <f>Inventario8[[#This Row],[Precio]]*Inventario8[[#This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IF(Inventario8[[#This Row],[Cantidad de unidades por bulto]]=0, 0, Inventario8[[#This Row],[Precio por bulto ($)]]/Inventario8[[#This Row],[Cantidad de unidades por bulto]])</f>
        <v>1.125</v>
      </c>
      <c r="G14" s="9">
        <f>Inventario8[[#This Row],[Precio]]*Inventario8[[#This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IF(Inventario8[[#This Row],[Cantidad de unidades por bulto]]=0, 0, Inventario8[[#This Row],[Precio por bulto ($)]]/Inventario8[[#This Row],[Cantidad de unidades por bulto]])</f>
        <v>0.69916666666666671</v>
      </c>
      <c r="G15" s="9">
        <f>Inventario8[[#This Row],[Precio]]*Inventario8[[#This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IF(Inventario8[[#This Row],[Cantidad de unidades por bulto]]=0, 0, Inventario8[[#This Row],[Precio por bulto ($)]]/Inventario8[[#This Row],[Cantidad de unidades por bulto]])</f>
        <v>1.125</v>
      </c>
      <c r="G16" s="9">
        <f>Inventario8[[#This Row],[Precio]]*Inventario8[[#This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IF(Inventario8[[#This Row],[Cantidad de unidades por bulto]]=0, 0, Inventario8[[#This Row],[Precio por bulto ($)]]/Inventario8[[#This Row],[Cantidad de unidades por bulto]])</f>
        <v>1.125</v>
      </c>
      <c r="G17" s="9">
        <f>Inventario8[[#This Row],[Precio]]*Inventario8[[#This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IF(Inventario8[[#This Row],[Cantidad de unidades por bulto]]=0, 0, Inventario8[[#This Row],[Precio por bulto ($)]]/Inventario8[[#This Row],[Cantidad de unidades por bulto]])</f>
        <v>0.63461538461538458</v>
      </c>
      <c r="G18" s="9">
        <f>Inventario8[[#This Row],[Precio]]*Inventario8[[#This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IF(Inventario8[[#This Row],[Cantidad de unidades por bulto]]=0, 0, Inventario8[[#This Row],[Precio por bulto ($)]]/Inventario8[[#This Row],[Cantidad de unidades por bulto]])</f>
        <v>0.10416666666666667</v>
      </c>
      <c r="G19" s="9">
        <f>Inventario8[[#This Row],[Precio]]*Inventario8[[#This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IF(Inventario8[[#This Row],[Cantidad de unidades por bulto]]=0, 0, Inventario8[[#This Row],[Precio por bulto ($)]]/Inventario8[[#This Row],[Cantidad de unidades por bulto]])</f>
        <v>2.6</v>
      </c>
      <c r="G20" s="9">
        <f>Inventario8[[#This Row],[Precio]]*Inventario8[[#This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IF(Inventario8[[#This Row],[Cantidad de unidades por bulto]]=0, 0, Inventario8[[#This Row],[Precio por bulto ($)]]/Inventario8[[#This Row],[Cantidad de unidades por bulto]])</f>
        <v>0.9</v>
      </c>
      <c r="G21" s="9">
        <f>Inventario8[[#This Row],[Precio]]*Inventario8[[#This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IF(Inventario8[[#This Row],[Cantidad de unidades por bulto]]=0, 0, Inventario8[[#This Row],[Precio por bulto ($)]]/Inventario8[[#This Row],[Cantidad de unidades por bulto]])</f>
        <v>45</v>
      </c>
      <c r="G22" s="9">
        <f>Inventario8[[#This Row],[Precio]]*Inventario8[[#This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IF(Inventario8[[#This Row],[Cantidad de unidades por bulto]]=0, 0, Inventario8[[#This Row],[Precio por bulto ($)]]/Inventario8[[#This Row],[Cantidad de unidades por bulto]])</f>
        <v>1.6</v>
      </c>
      <c r="G23" s="9">
        <f>Inventario8[[#This Row],[Precio]]*Inventario8[[#This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IF(Inventario8[[#This Row],[Cantidad de unidades por bulto]]=0, 0, Inventario8[[#This Row],[Precio por bulto ($)]]/Inventario8[[#This Row],[Cantidad de unidades por bulto]])</f>
        <v>0.22</v>
      </c>
      <c r="G24" s="9">
        <f>Inventario8[[#This Row],[Precio]]*Inventario8[[#This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IF(Inventario8[[#This Row],[Cantidad de unidades por bulto]]=0, 0, Inventario8[[#This Row],[Precio por bulto ($)]]/Inventario8[[#This Row],[Cantidad de unidades por bulto]])</f>
        <v>0.35166666666666663</v>
      </c>
      <c r="G25" s="9">
        <f>Inventario8[[#This Row],[Precio]]*Inventario8[[#This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IF(Inventario8[[#This Row],[Cantidad de unidades por bulto]]=0, 0, Inventario8[[#This Row],[Precio por bulto ($)]]/Inventario8[[#This Row],[Cantidad de unidades por bulto]])</f>
        <v>1.8</v>
      </c>
      <c r="G26" s="9">
        <f>Inventario8[[#This Row],[Precio]]*Inventario8[[#This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IF(Inventario8[[#This Row],[Cantidad de unidades por bulto]]=0, 0, Inventario8[[#This Row],[Precio por bulto ($)]]/Inventario8[[#This Row],[Cantidad de unidades por bulto]])</f>
        <v>3.625</v>
      </c>
      <c r="G27" s="9">
        <f>Inventario8[[#This Row],[Precio]]*Inventario8[[#This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IF(Inventario8[[#This Row],[Cantidad de unidades por bulto]]=0, 0, Inventario8[[#This Row],[Precio por bulto ($)]]/Inventario8[[#This Row],[Cantidad de unidades por bulto]])</f>
        <v>0.52083333333333337</v>
      </c>
      <c r="G28" s="9">
        <f>Inventario8[[#This Row],[Precio]]*Inventario8[[#This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IF(Inventario8[[#This Row],[Cantidad de unidades por bulto]]=0, 0, Inventario8[[#This Row],[Precio por bulto ($)]]/Inventario8[[#This Row],[Cantidad de unidades por bulto]])</f>
        <v>29</v>
      </c>
      <c r="G29" s="9">
        <f>Inventario8[[#This Row],[Precio]]*Inventario8[[#This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IF(Inventario8[[#This Row],[Cantidad de unidades por bulto]]=0, 0, Inventario8[[#This Row],[Precio por bulto ($)]]/Inventario8[[#This Row],[Cantidad de unidades por bulto]])</f>
        <v>0.52083333333333337</v>
      </c>
      <c r="G30" s="9">
        <f>Inventario8[[#This Row],[Precio]]*Inventario8[[#This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IF(Inventario8[[#This Row],[Cantidad de unidades por bulto]]=0, 0, Inventario8[[#This Row],[Precio por bulto ($)]]/Inventario8[[#This Row],[Cantidad de unidades por bulto]])</f>
        <v>0.375</v>
      </c>
      <c r="G31" s="9">
        <f>Inventario8[[#This Row],[Precio]]*Inventario8[[#This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IF(Inventario8[[#This Row],[Cantidad de unidades por bulto]]=0, 0, Inventario8[[#This Row],[Precio por bulto ($)]]/Inventario8[[#This Row],[Cantidad de unidades por bulto]])</f>
        <v>7.05</v>
      </c>
      <c r="G32" s="9">
        <f>Inventario8[[#This Row],[Precio]]*Inventario8[[#This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IF(Inventario8[[#This Row],[Cantidad de unidades por bulto]]=0, 0, Inventario8[[#This Row],[Precio por bulto ($)]]/Inventario8[[#This Row],[Cantidad de unidades por bulto]])</f>
        <v>7.05</v>
      </c>
      <c r="G33" s="9">
        <f>Inventario8[[#This Row],[Precio]]*Inventario8[[#This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IF(Inventario8[[#This Row],[Cantidad de unidades por bulto]]=0, 0, Inventario8[[#This Row],[Precio por bulto ($)]]/Inventario8[[#This Row],[Cantidad de unidades por bulto]])</f>
        <v>7.05</v>
      </c>
      <c r="G34" s="9">
        <f>Inventario8[[#This Row],[Precio]]*Inventario8[[#This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IF(Inventario8[[#This Row],[Cantidad de unidades por bulto]]=0, 0, Inventario8[[#This Row],[Precio por bulto ($)]]/Inventario8[[#This Row],[Cantidad de unidades por bulto]])</f>
        <v>1.95</v>
      </c>
      <c r="G35" s="9">
        <f>Inventario8[[#This Row],[Precio]]*Inventario8[[#This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IF(Inventario8[[#This Row],[Cantidad de unidades por bulto]]=0, 0, Inventario8[[#This Row],[Precio por bulto ($)]]/Inventario8[[#This Row],[Cantidad de unidades por bulto]])</f>
        <v>0.3</v>
      </c>
      <c r="G36" s="9">
        <f>Inventario8[[#This Row],[Precio]]*Inventario8[[#This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IF(Inventario8[[#This Row],[Cantidad de unidades por bulto]]=0, 0, Inventario8[[#This Row],[Precio por bulto ($)]]/Inventario8[[#This Row],[Cantidad de unidades por bulto]])</f>
        <v>13.5</v>
      </c>
      <c r="G37" s="9">
        <f>Inventario8[[#This Row],[Precio]]*Inventario8[[#This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IF(Inventario8[[#This Row],[Cantidad de unidades por bulto]]=0, 0, Inventario8[[#This Row],[Precio por bulto ($)]]/Inventario8[[#This Row],[Cantidad de unidades por bulto]])</f>
        <v>11</v>
      </c>
      <c r="G38" s="9">
        <f>Inventario8[[#This Row],[Precio]]*Inventario8[[#This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IF(Inventario8[[#This Row],[Cantidad de unidades por bulto]]=0, 0, Inventario8[[#This Row],[Precio por bulto ($)]]/Inventario8[[#This Row],[Cantidad de unidades por bulto]])</f>
        <v>0.5625</v>
      </c>
      <c r="G39" s="9">
        <f>Inventario8[[#This Row],[Precio]]*Inventario8[[#This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IF(Inventario8[[#This Row],[Cantidad de unidades por bulto]]=0, 0, Inventario8[[#This Row],[Precio por bulto ($)]]/Inventario8[[#This Row],[Cantidad de unidades por bulto]])</f>
        <v>2</v>
      </c>
      <c r="G40" s="9">
        <f>Inventario8[[#This Row],[Precio]]*Inventario8[[#This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0A6F1-E6CA-4FD3-98D7-37D40A6841BB}">
  <sheetPr codeName="Hoja7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SUM(Inventario7[Importe])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IF(Inventario7[[#This Row],[Cantidad de unidades por bulto]]=0, 0, Inventario7[[#This Row],[Precio por bulto ($)]]/Inventario7[[#This Row],[Cantidad de unidades por bulto]])</f>
        <v>1.25</v>
      </c>
      <c r="G2" s="9">
        <f>Inventario7[[#This Row],[Precio]]*Inventario7[[#This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IF(Inventario7[[#This Row],[Cantidad de unidades por bulto]]=0, 0, Inventario7[[#This Row],[Precio por bulto ($)]]/Inventario7[[#This Row],[Cantidad de unidades por bulto]])</f>
        <v>1.2250000000000001</v>
      </c>
      <c r="G3" s="9">
        <f>Inventario7[[#This Row],[Precio]]*Inventario7[[#This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IF(Inventario7[[#This Row],[Cantidad de unidades por bulto]]=0, 0, Inventario7[[#This Row],[Precio por bulto ($)]]/Inventario7[[#This Row],[Cantidad de unidades por bulto]])</f>
        <v>0.81</v>
      </c>
      <c r="G4" s="9">
        <f>Inventario7[[#This Row],[Precio]]*Inventario7[[#This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IF(Inventario7[[#This Row],[Cantidad de unidades por bulto]]=0, 0, Inventario7[[#This Row],[Precio por bulto ($)]]/Inventario7[[#This Row],[Cantidad de unidades por bulto]])</f>
        <v>0.8</v>
      </c>
      <c r="G5" s="9">
        <f>Inventario7[[#This Row],[Precio]]*Inventario7[[#This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IF(Inventario7[[#This Row],[Cantidad de unidades por bulto]]=0, 0, Inventario7[[#This Row],[Precio por bulto ($)]]/Inventario7[[#This Row],[Cantidad de unidades por bulto]])</f>
        <v>0.81</v>
      </c>
      <c r="G6" s="9">
        <f>Inventario7[[#This Row],[Precio]]*Inventario7[[#This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IF(Inventario7[[#This Row],[Cantidad de unidades por bulto]]=0, 0, Inventario7[[#This Row],[Precio por bulto ($)]]/Inventario7[[#This Row],[Cantidad de unidades por bulto]])</f>
        <v>0.8773333333333333</v>
      </c>
      <c r="G7" s="9">
        <f>Inventario7[[#This Row],[Precio]]*Inventario7[[#This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IF(Inventario7[[#This Row],[Cantidad de unidades por bulto]]=0, 0, Inventario7[[#This Row],[Precio por bulto ($)]]/Inventario7[[#This Row],[Cantidad de unidades por bulto]])</f>
        <v>0.75</v>
      </c>
      <c r="G8" s="9">
        <f>Inventario7[[#This Row],[Precio]]*Inventario7[[#This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IF(Inventario7[[#This Row],[Cantidad de unidades por bulto]]=0, 0, Inventario7[[#This Row],[Precio por bulto ($)]]/Inventario7[[#This Row],[Cantidad de unidades por bulto]])</f>
        <v>0.75</v>
      </c>
      <c r="G9" s="9">
        <f>Inventario7[[#This Row],[Precio]]*Inventario7[[#This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IF(Inventario7[[#This Row],[Cantidad de unidades por bulto]]=0, 0, Inventario7[[#This Row],[Precio por bulto ($)]]/Inventario7[[#This Row],[Cantidad de unidades por bulto]])</f>
        <v>1.25</v>
      </c>
      <c r="G10" s="9">
        <f>Inventario7[[#This Row],[Precio]]*Inventario7[[#This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IF(Inventario7[[#This Row],[Cantidad de unidades por bulto]]=0, 0, Inventario7[[#This Row],[Precio por bulto ($)]]/Inventario7[[#This Row],[Cantidad de unidades por bulto]])</f>
        <v>11</v>
      </c>
      <c r="G11" s="9">
        <f>Inventario7[[#This Row],[Precio]]*Inventario7[[#This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IF(Inventario7[[#This Row],[Cantidad de unidades por bulto]]=0, 0, Inventario7[[#This Row],[Precio por bulto ($)]]/Inventario7[[#This Row],[Cantidad de unidades por bulto]])</f>
        <v>11</v>
      </c>
      <c r="G12" s="9">
        <f>Inventario7[[#This Row],[Precio]]*Inventario7[[#This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IF(Inventario7[[#This Row],[Cantidad de unidades por bulto]]=0, 0, Inventario7[[#This Row],[Precio por bulto ($)]]/Inventario7[[#This Row],[Cantidad de unidades por bulto]])</f>
        <v>1.25</v>
      </c>
      <c r="G13" s="9">
        <f>Inventario7[[#This Row],[Precio]]*Inventario7[[#This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IF(Inventario7[[#This Row],[Cantidad de unidades por bulto]]=0, 0, Inventario7[[#This Row],[Precio por bulto ($)]]/Inventario7[[#This Row],[Cantidad de unidades por bulto]])</f>
        <v>1.125</v>
      </c>
      <c r="G14" s="9">
        <f>Inventario7[[#This Row],[Precio]]*Inventario7[[#This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IF(Inventario7[[#This Row],[Cantidad de unidades por bulto]]=0, 0, Inventario7[[#This Row],[Precio por bulto ($)]]/Inventario7[[#This Row],[Cantidad de unidades por bulto]])</f>
        <v>0.69916666666666671</v>
      </c>
      <c r="G15" s="9">
        <f>Inventario7[[#This Row],[Precio]]*Inventario7[[#This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IF(Inventario7[[#This Row],[Cantidad de unidades por bulto]]=0, 0, Inventario7[[#This Row],[Precio por bulto ($)]]/Inventario7[[#This Row],[Cantidad de unidades por bulto]])</f>
        <v>1.125</v>
      </c>
      <c r="G16" s="9">
        <f>Inventario7[[#This Row],[Precio]]*Inventario7[[#This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IF(Inventario7[[#This Row],[Cantidad de unidades por bulto]]=0, 0, Inventario7[[#This Row],[Precio por bulto ($)]]/Inventario7[[#This Row],[Cantidad de unidades por bulto]])</f>
        <v>1.125</v>
      </c>
      <c r="G17" s="9">
        <f>Inventario7[[#This Row],[Precio]]*Inventario7[[#This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IF(Inventario7[[#This Row],[Cantidad de unidades por bulto]]=0, 0, Inventario7[[#This Row],[Precio por bulto ($)]]/Inventario7[[#This Row],[Cantidad de unidades por bulto]])</f>
        <v>0.63461538461538458</v>
      </c>
      <c r="G18" s="9">
        <f>Inventario7[[#This Row],[Precio]]*Inventario7[[#This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IF(Inventario7[[#This Row],[Cantidad de unidades por bulto]]=0, 0, Inventario7[[#This Row],[Precio por bulto ($)]]/Inventario7[[#This Row],[Cantidad de unidades por bulto]])</f>
        <v>0.10416666666666667</v>
      </c>
      <c r="G19" s="9">
        <f>Inventario7[[#This Row],[Precio]]*Inventario7[[#This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IF(Inventario7[[#This Row],[Cantidad de unidades por bulto]]=0, 0, Inventario7[[#This Row],[Precio por bulto ($)]]/Inventario7[[#This Row],[Cantidad de unidades por bulto]])</f>
        <v>2.6</v>
      </c>
      <c r="G20" s="9">
        <f>Inventario7[[#This Row],[Precio]]*Inventario7[[#This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IF(Inventario7[[#This Row],[Cantidad de unidades por bulto]]=0, 0, Inventario7[[#This Row],[Precio por bulto ($)]]/Inventario7[[#This Row],[Cantidad de unidades por bulto]])</f>
        <v>0.9</v>
      </c>
      <c r="G21" s="9">
        <f>Inventario7[[#This Row],[Precio]]*Inventario7[[#This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IF(Inventario7[[#This Row],[Cantidad de unidades por bulto]]=0, 0, Inventario7[[#This Row],[Precio por bulto ($)]]/Inventario7[[#This Row],[Cantidad de unidades por bulto]])</f>
        <v>45</v>
      </c>
      <c r="G22" s="9">
        <f>Inventario7[[#This Row],[Precio]]*Inventario7[[#This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IF(Inventario7[[#This Row],[Cantidad de unidades por bulto]]=0, 0, Inventario7[[#This Row],[Precio por bulto ($)]]/Inventario7[[#This Row],[Cantidad de unidades por bulto]])</f>
        <v>1.6</v>
      </c>
      <c r="G23" s="9">
        <f>Inventario7[[#This Row],[Precio]]*Inventario7[[#This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IF(Inventario7[[#This Row],[Cantidad de unidades por bulto]]=0, 0, Inventario7[[#This Row],[Precio por bulto ($)]]/Inventario7[[#This Row],[Cantidad de unidades por bulto]])</f>
        <v>0.22</v>
      </c>
      <c r="G24" s="9">
        <f>Inventario7[[#This Row],[Precio]]*Inventario7[[#This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IF(Inventario7[[#This Row],[Cantidad de unidades por bulto]]=0, 0, Inventario7[[#This Row],[Precio por bulto ($)]]/Inventario7[[#This Row],[Cantidad de unidades por bulto]])</f>
        <v>0.35166666666666663</v>
      </c>
      <c r="G25" s="9">
        <f>Inventario7[[#This Row],[Precio]]*Inventario7[[#This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IF(Inventario7[[#This Row],[Cantidad de unidades por bulto]]=0, 0, Inventario7[[#This Row],[Precio por bulto ($)]]/Inventario7[[#This Row],[Cantidad de unidades por bulto]])</f>
        <v>1.8</v>
      </c>
      <c r="G26" s="9">
        <f>Inventario7[[#This Row],[Precio]]*Inventario7[[#This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IF(Inventario7[[#This Row],[Cantidad de unidades por bulto]]=0, 0, Inventario7[[#This Row],[Precio por bulto ($)]]/Inventario7[[#This Row],[Cantidad de unidades por bulto]])</f>
        <v>3.625</v>
      </c>
      <c r="G27" s="9">
        <f>Inventario7[[#This Row],[Precio]]*Inventario7[[#This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IF(Inventario7[[#This Row],[Cantidad de unidades por bulto]]=0, 0, Inventario7[[#This Row],[Precio por bulto ($)]]/Inventario7[[#This Row],[Cantidad de unidades por bulto]])</f>
        <v>0.52083333333333337</v>
      </c>
      <c r="G28" s="9">
        <f>Inventario7[[#This Row],[Precio]]*Inventario7[[#This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IF(Inventario7[[#This Row],[Cantidad de unidades por bulto]]=0, 0, Inventario7[[#This Row],[Precio por bulto ($)]]/Inventario7[[#This Row],[Cantidad de unidades por bulto]])</f>
        <v>29</v>
      </c>
      <c r="G29" s="9">
        <f>Inventario7[[#This Row],[Precio]]*Inventario7[[#This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IF(Inventario7[[#This Row],[Cantidad de unidades por bulto]]=0, 0, Inventario7[[#This Row],[Precio por bulto ($)]]/Inventario7[[#This Row],[Cantidad de unidades por bulto]])</f>
        <v>0.52083333333333337</v>
      </c>
      <c r="G30" s="9">
        <f>Inventario7[[#This Row],[Precio]]*Inventario7[[#This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IF(Inventario7[[#This Row],[Cantidad de unidades por bulto]]=0, 0, Inventario7[[#This Row],[Precio por bulto ($)]]/Inventario7[[#This Row],[Cantidad de unidades por bulto]])</f>
        <v>0.375</v>
      </c>
      <c r="G31" s="9">
        <f>Inventario7[[#This Row],[Precio]]*Inventario7[[#This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IF(Inventario7[[#This Row],[Cantidad de unidades por bulto]]=0, 0, Inventario7[[#This Row],[Precio por bulto ($)]]/Inventario7[[#This Row],[Cantidad de unidades por bulto]])</f>
        <v>7.05</v>
      </c>
      <c r="G32" s="9">
        <f>Inventario7[[#This Row],[Precio]]*Inventario7[[#This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IF(Inventario7[[#This Row],[Cantidad de unidades por bulto]]=0, 0, Inventario7[[#This Row],[Precio por bulto ($)]]/Inventario7[[#This Row],[Cantidad de unidades por bulto]])</f>
        <v>7.05</v>
      </c>
      <c r="G33" s="9">
        <f>Inventario7[[#This Row],[Precio]]*Inventario7[[#This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IF(Inventario7[[#This Row],[Cantidad de unidades por bulto]]=0, 0, Inventario7[[#This Row],[Precio por bulto ($)]]/Inventario7[[#This Row],[Cantidad de unidades por bulto]])</f>
        <v>7.05</v>
      </c>
      <c r="G34" s="9">
        <f>Inventario7[[#This Row],[Precio]]*Inventario7[[#This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IF(Inventario7[[#This Row],[Cantidad de unidades por bulto]]=0, 0, Inventario7[[#This Row],[Precio por bulto ($)]]/Inventario7[[#This Row],[Cantidad de unidades por bulto]])</f>
        <v>1.95</v>
      </c>
      <c r="G35" s="9">
        <f>Inventario7[[#This Row],[Precio]]*Inventario7[[#This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IF(Inventario7[[#This Row],[Cantidad de unidades por bulto]]=0, 0, Inventario7[[#This Row],[Precio por bulto ($)]]/Inventario7[[#This Row],[Cantidad de unidades por bulto]])</f>
        <v>0.3</v>
      </c>
      <c r="G36" s="9">
        <f>Inventario7[[#This Row],[Precio]]*Inventario7[[#This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IF(Inventario7[[#This Row],[Cantidad de unidades por bulto]]=0, 0, Inventario7[[#This Row],[Precio por bulto ($)]]/Inventario7[[#This Row],[Cantidad de unidades por bulto]])</f>
        <v>13.5</v>
      </c>
      <c r="G37" s="9">
        <f>Inventario7[[#This Row],[Precio]]*Inventario7[[#This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IF(Inventario7[[#This Row],[Cantidad de unidades por bulto]]=0, 0, Inventario7[[#This Row],[Precio por bulto ($)]]/Inventario7[[#This Row],[Cantidad de unidades por bulto]])</f>
        <v>11</v>
      </c>
      <c r="G38" s="9">
        <f>Inventario7[[#This Row],[Precio]]*Inventario7[[#This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IF(Inventario7[[#This Row],[Cantidad de unidades por bulto]]=0, 0, Inventario7[[#This Row],[Precio por bulto ($)]]/Inventario7[[#This Row],[Cantidad de unidades por bulto]])</f>
        <v>0.5625</v>
      </c>
      <c r="G39" s="9">
        <f>Inventario7[[#This Row],[Precio]]*Inventario7[[#This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IF(Inventario7[[#This Row],[Cantidad de unidades por bulto]]=0, 0, Inventario7[[#This Row],[Precio por bulto ($)]]/Inventario7[[#This Row],[Cantidad de unidades por bulto]])</f>
        <v>2</v>
      </c>
      <c r="G40" s="9">
        <f>Inventario7[[#This Row],[Precio]]*Inventario7[[#This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58841-A2CD-42D5-8BEE-2B2EAC26B139}">
  <sheetPr codeName="Hoja6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SUM(Inventario6[Importe])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IF(Inventario6[[#This Row],[Cantidad de unidades por bulto]]=0, 0, Inventario6[[#This Row],[Precio por bulto ($)]]/Inventario6[[#This Row],[Cantidad de unidades por bulto]])</f>
        <v>1.25</v>
      </c>
      <c r="G2" s="9">
        <f>Inventario6[[#This Row],[Precio]]*Inventario6[[#This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IF(Inventario6[[#This Row],[Cantidad de unidades por bulto]]=0, 0, Inventario6[[#This Row],[Precio por bulto ($)]]/Inventario6[[#This Row],[Cantidad de unidades por bulto]])</f>
        <v>1.2250000000000001</v>
      </c>
      <c r="G3" s="9">
        <f>Inventario6[[#This Row],[Precio]]*Inventario6[[#This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IF(Inventario6[[#This Row],[Cantidad de unidades por bulto]]=0, 0, Inventario6[[#This Row],[Precio por bulto ($)]]/Inventario6[[#This Row],[Cantidad de unidades por bulto]])</f>
        <v>0.81</v>
      </c>
      <c r="G4" s="9">
        <f>Inventario6[[#This Row],[Precio]]*Inventario6[[#This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IF(Inventario6[[#This Row],[Cantidad de unidades por bulto]]=0, 0, Inventario6[[#This Row],[Precio por bulto ($)]]/Inventario6[[#This Row],[Cantidad de unidades por bulto]])</f>
        <v>0.8</v>
      </c>
      <c r="G5" s="9">
        <f>Inventario6[[#This Row],[Precio]]*Inventario6[[#This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IF(Inventario6[[#This Row],[Cantidad de unidades por bulto]]=0, 0, Inventario6[[#This Row],[Precio por bulto ($)]]/Inventario6[[#This Row],[Cantidad de unidades por bulto]])</f>
        <v>0.81</v>
      </c>
      <c r="G6" s="9">
        <f>Inventario6[[#This Row],[Precio]]*Inventario6[[#This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IF(Inventario6[[#This Row],[Cantidad de unidades por bulto]]=0, 0, Inventario6[[#This Row],[Precio por bulto ($)]]/Inventario6[[#This Row],[Cantidad de unidades por bulto]])</f>
        <v>0.8773333333333333</v>
      </c>
      <c r="G7" s="9">
        <f>Inventario6[[#This Row],[Precio]]*Inventario6[[#This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IF(Inventario6[[#This Row],[Cantidad de unidades por bulto]]=0, 0, Inventario6[[#This Row],[Precio por bulto ($)]]/Inventario6[[#This Row],[Cantidad de unidades por bulto]])</f>
        <v>0.75</v>
      </c>
      <c r="G8" s="9">
        <f>Inventario6[[#This Row],[Precio]]*Inventario6[[#This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IF(Inventario6[[#This Row],[Cantidad de unidades por bulto]]=0, 0, Inventario6[[#This Row],[Precio por bulto ($)]]/Inventario6[[#This Row],[Cantidad de unidades por bulto]])</f>
        <v>0.75</v>
      </c>
      <c r="G9" s="9">
        <f>Inventario6[[#This Row],[Precio]]*Inventario6[[#This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IF(Inventario6[[#This Row],[Cantidad de unidades por bulto]]=0, 0, Inventario6[[#This Row],[Precio por bulto ($)]]/Inventario6[[#This Row],[Cantidad de unidades por bulto]])</f>
        <v>1.25</v>
      </c>
      <c r="G10" s="9">
        <f>Inventario6[[#This Row],[Precio]]*Inventario6[[#This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IF(Inventario6[[#This Row],[Cantidad de unidades por bulto]]=0, 0, Inventario6[[#This Row],[Precio por bulto ($)]]/Inventario6[[#This Row],[Cantidad de unidades por bulto]])</f>
        <v>11</v>
      </c>
      <c r="G11" s="9">
        <f>Inventario6[[#This Row],[Precio]]*Inventario6[[#This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IF(Inventario6[[#This Row],[Cantidad de unidades por bulto]]=0, 0, Inventario6[[#This Row],[Precio por bulto ($)]]/Inventario6[[#This Row],[Cantidad de unidades por bulto]])</f>
        <v>11</v>
      </c>
      <c r="G12" s="9">
        <f>Inventario6[[#This Row],[Precio]]*Inventario6[[#This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IF(Inventario6[[#This Row],[Cantidad de unidades por bulto]]=0, 0, Inventario6[[#This Row],[Precio por bulto ($)]]/Inventario6[[#This Row],[Cantidad de unidades por bulto]])</f>
        <v>1.25</v>
      </c>
      <c r="G13" s="9">
        <f>Inventario6[[#This Row],[Precio]]*Inventario6[[#This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IF(Inventario6[[#This Row],[Cantidad de unidades por bulto]]=0, 0, Inventario6[[#This Row],[Precio por bulto ($)]]/Inventario6[[#This Row],[Cantidad de unidades por bulto]])</f>
        <v>1.125</v>
      </c>
      <c r="G14" s="9">
        <f>Inventario6[[#This Row],[Precio]]*Inventario6[[#This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IF(Inventario6[[#This Row],[Cantidad de unidades por bulto]]=0, 0, Inventario6[[#This Row],[Precio por bulto ($)]]/Inventario6[[#This Row],[Cantidad de unidades por bulto]])</f>
        <v>0.69916666666666671</v>
      </c>
      <c r="G15" s="9">
        <f>Inventario6[[#This Row],[Precio]]*Inventario6[[#This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IF(Inventario6[[#This Row],[Cantidad de unidades por bulto]]=0, 0, Inventario6[[#This Row],[Precio por bulto ($)]]/Inventario6[[#This Row],[Cantidad de unidades por bulto]])</f>
        <v>1.125</v>
      </c>
      <c r="G16" s="9">
        <f>Inventario6[[#This Row],[Precio]]*Inventario6[[#This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IF(Inventario6[[#This Row],[Cantidad de unidades por bulto]]=0, 0, Inventario6[[#This Row],[Precio por bulto ($)]]/Inventario6[[#This Row],[Cantidad de unidades por bulto]])</f>
        <v>1.125</v>
      </c>
      <c r="G17" s="9">
        <f>Inventario6[[#This Row],[Precio]]*Inventario6[[#This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IF(Inventario6[[#This Row],[Cantidad de unidades por bulto]]=0, 0, Inventario6[[#This Row],[Precio por bulto ($)]]/Inventario6[[#This Row],[Cantidad de unidades por bulto]])</f>
        <v>0.63461538461538458</v>
      </c>
      <c r="G18" s="9">
        <f>Inventario6[[#This Row],[Precio]]*Inventario6[[#This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IF(Inventario6[[#This Row],[Cantidad de unidades por bulto]]=0, 0, Inventario6[[#This Row],[Precio por bulto ($)]]/Inventario6[[#This Row],[Cantidad de unidades por bulto]])</f>
        <v>0.10416666666666667</v>
      </c>
      <c r="G19" s="9">
        <f>Inventario6[[#This Row],[Precio]]*Inventario6[[#This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IF(Inventario6[[#This Row],[Cantidad de unidades por bulto]]=0, 0, Inventario6[[#This Row],[Precio por bulto ($)]]/Inventario6[[#This Row],[Cantidad de unidades por bulto]])</f>
        <v>2.6</v>
      </c>
      <c r="G20" s="9">
        <f>Inventario6[[#This Row],[Precio]]*Inventario6[[#This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IF(Inventario6[[#This Row],[Cantidad de unidades por bulto]]=0, 0, Inventario6[[#This Row],[Precio por bulto ($)]]/Inventario6[[#This Row],[Cantidad de unidades por bulto]])</f>
        <v>0.9</v>
      </c>
      <c r="G21" s="9">
        <f>Inventario6[[#This Row],[Precio]]*Inventario6[[#This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IF(Inventario6[[#This Row],[Cantidad de unidades por bulto]]=0, 0, Inventario6[[#This Row],[Precio por bulto ($)]]/Inventario6[[#This Row],[Cantidad de unidades por bulto]])</f>
        <v>45</v>
      </c>
      <c r="G22" s="9">
        <f>Inventario6[[#This Row],[Precio]]*Inventario6[[#This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IF(Inventario6[[#This Row],[Cantidad de unidades por bulto]]=0, 0, Inventario6[[#This Row],[Precio por bulto ($)]]/Inventario6[[#This Row],[Cantidad de unidades por bulto]])</f>
        <v>1.6</v>
      </c>
      <c r="G23" s="9">
        <f>Inventario6[[#This Row],[Precio]]*Inventario6[[#This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IF(Inventario6[[#This Row],[Cantidad de unidades por bulto]]=0, 0, Inventario6[[#This Row],[Precio por bulto ($)]]/Inventario6[[#This Row],[Cantidad de unidades por bulto]])</f>
        <v>0.22</v>
      </c>
      <c r="G24" s="9">
        <f>Inventario6[[#This Row],[Precio]]*Inventario6[[#This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IF(Inventario6[[#This Row],[Cantidad de unidades por bulto]]=0, 0, Inventario6[[#This Row],[Precio por bulto ($)]]/Inventario6[[#This Row],[Cantidad de unidades por bulto]])</f>
        <v>0.35166666666666663</v>
      </c>
      <c r="G25" s="9">
        <f>Inventario6[[#This Row],[Precio]]*Inventario6[[#This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IF(Inventario6[[#This Row],[Cantidad de unidades por bulto]]=0, 0, Inventario6[[#This Row],[Precio por bulto ($)]]/Inventario6[[#This Row],[Cantidad de unidades por bulto]])</f>
        <v>1.8</v>
      </c>
      <c r="G26" s="9">
        <f>Inventario6[[#This Row],[Precio]]*Inventario6[[#This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IF(Inventario6[[#This Row],[Cantidad de unidades por bulto]]=0, 0, Inventario6[[#This Row],[Precio por bulto ($)]]/Inventario6[[#This Row],[Cantidad de unidades por bulto]])</f>
        <v>3.625</v>
      </c>
      <c r="G27" s="9">
        <f>Inventario6[[#This Row],[Precio]]*Inventario6[[#This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IF(Inventario6[[#This Row],[Cantidad de unidades por bulto]]=0, 0, Inventario6[[#This Row],[Precio por bulto ($)]]/Inventario6[[#This Row],[Cantidad de unidades por bulto]])</f>
        <v>0.52083333333333337</v>
      </c>
      <c r="G28" s="9">
        <f>Inventario6[[#This Row],[Precio]]*Inventario6[[#This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IF(Inventario6[[#This Row],[Cantidad de unidades por bulto]]=0, 0, Inventario6[[#This Row],[Precio por bulto ($)]]/Inventario6[[#This Row],[Cantidad de unidades por bulto]])</f>
        <v>29</v>
      </c>
      <c r="G29" s="9">
        <f>Inventario6[[#This Row],[Precio]]*Inventario6[[#This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IF(Inventario6[[#This Row],[Cantidad de unidades por bulto]]=0, 0, Inventario6[[#This Row],[Precio por bulto ($)]]/Inventario6[[#This Row],[Cantidad de unidades por bulto]])</f>
        <v>0.52083333333333337</v>
      </c>
      <c r="G30" s="9">
        <f>Inventario6[[#This Row],[Precio]]*Inventario6[[#This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IF(Inventario6[[#This Row],[Cantidad de unidades por bulto]]=0, 0, Inventario6[[#This Row],[Precio por bulto ($)]]/Inventario6[[#This Row],[Cantidad de unidades por bulto]])</f>
        <v>0.375</v>
      </c>
      <c r="G31" s="9">
        <f>Inventario6[[#This Row],[Precio]]*Inventario6[[#This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IF(Inventario6[[#This Row],[Cantidad de unidades por bulto]]=0, 0, Inventario6[[#This Row],[Precio por bulto ($)]]/Inventario6[[#This Row],[Cantidad de unidades por bulto]])</f>
        <v>7.05</v>
      </c>
      <c r="G32" s="9">
        <f>Inventario6[[#This Row],[Precio]]*Inventario6[[#This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IF(Inventario6[[#This Row],[Cantidad de unidades por bulto]]=0, 0, Inventario6[[#This Row],[Precio por bulto ($)]]/Inventario6[[#This Row],[Cantidad de unidades por bulto]])</f>
        <v>7.05</v>
      </c>
      <c r="G33" s="9">
        <f>Inventario6[[#This Row],[Precio]]*Inventario6[[#This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IF(Inventario6[[#This Row],[Cantidad de unidades por bulto]]=0, 0, Inventario6[[#This Row],[Precio por bulto ($)]]/Inventario6[[#This Row],[Cantidad de unidades por bulto]])</f>
        <v>7.05</v>
      </c>
      <c r="G34" s="9">
        <f>Inventario6[[#This Row],[Precio]]*Inventario6[[#This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IF(Inventario6[[#This Row],[Cantidad de unidades por bulto]]=0, 0, Inventario6[[#This Row],[Precio por bulto ($)]]/Inventario6[[#This Row],[Cantidad de unidades por bulto]])</f>
        <v>1.95</v>
      </c>
      <c r="G35" s="9">
        <f>Inventario6[[#This Row],[Precio]]*Inventario6[[#This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IF(Inventario6[[#This Row],[Cantidad de unidades por bulto]]=0, 0, Inventario6[[#This Row],[Precio por bulto ($)]]/Inventario6[[#This Row],[Cantidad de unidades por bulto]])</f>
        <v>0.3</v>
      </c>
      <c r="G36" s="9">
        <f>Inventario6[[#This Row],[Precio]]*Inventario6[[#This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IF(Inventario6[[#This Row],[Cantidad de unidades por bulto]]=0, 0, Inventario6[[#This Row],[Precio por bulto ($)]]/Inventario6[[#This Row],[Cantidad de unidades por bulto]])</f>
        <v>13.5</v>
      </c>
      <c r="G37" s="9">
        <f>Inventario6[[#This Row],[Precio]]*Inventario6[[#This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IF(Inventario6[[#This Row],[Cantidad de unidades por bulto]]=0, 0, Inventario6[[#This Row],[Precio por bulto ($)]]/Inventario6[[#This Row],[Cantidad de unidades por bulto]])</f>
        <v>11</v>
      </c>
      <c r="G38" s="9">
        <f>Inventario6[[#This Row],[Precio]]*Inventario6[[#This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IF(Inventario6[[#This Row],[Cantidad de unidades por bulto]]=0, 0, Inventario6[[#This Row],[Precio por bulto ($)]]/Inventario6[[#This Row],[Cantidad de unidades por bulto]])</f>
        <v>0.5625</v>
      </c>
      <c r="G39" s="9">
        <f>Inventario6[[#This Row],[Precio]]*Inventario6[[#This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IF(Inventario6[[#This Row],[Cantidad de unidades por bulto]]=0, 0, Inventario6[[#This Row],[Precio por bulto ($)]]/Inventario6[[#This Row],[Cantidad de unidades por bulto]])</f>
        <v>2</v>
      </c>
      <c r="G40" s="9">
        <f>Inventario6[[#This Row],[Precio]]*Inventario6[[#This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7B072-BB0D-4EA8-A76C-7E8FE855916B}">
  <sheetPr codeName="Hoja5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SUM(Inventario5[Importe])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IF(Inventario5[[#This Row],[Cantidad de unidades por bulto]]=0, 0, Inventario5[[#This Row],[Precio por bulto ($)]]/Inventario5[[#This Row],[Cantidad de unidades por bulto]])</f>
        <v>1.25</v>
      </c>
      <c r="G2" s="9">
        <f>Inventario5[[#This Row],[Precio]]*Inventario5[[#This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IF(Inventario5[[#This Row],[Cantidad de unidades por bulto]]=0, 0, Inventario5[[#This Row],[Precio por bulto ($)]]/Inventario5[[#This Row],[Cantidad de unidades por bulto]])</f>
        <v>1.2250000000000001</v>
      </c>
      <c r="G3" s="9">
        <f>Inventario5[[#This Row],[Precio]]*Inventario5[[#This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IF(Inventario5[[#This Row],[Cantidad de unidades por bulto]]=0, 0, Inventario5[[#This Row],[Precio por bulto ($)]]/Inventario5[[#This Row],[Cantidad de unidades por bulto]])</f>
        <v>0.81</v>
      </c>
      <c r="G4" s="9">
        <f>Inventario5[[#This Row],[Precio]]*Inventario5[[#This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IF(Inventario5[[#This Row],[Cantidad de unidades por bulto]]=0, 0, Inventario5[[#This Row],[Precio por bulto ($)]]/Inventario5[[#This Row],[Cantidad de unidades por bulto]])</f>
        <v>0.8</v>
      </c>
      <c r="G5" s="9">
        <f>Inventario5[[#This Row],[Precio]]*Inventario5[[#This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IF(Inventario5[[#This Row],[Cantidad de unidades por bulto]]=0, 0, Inventario5[[#This Row],[Precio por bulto ($)]]/Inventario5[[#This Row],[Cantidad de unidades por bulto]])</f>
        <v>0.81</v>
      </c>
      <c r="G6" s="9">
        <f>Inventario5[[#This Row],[Precio]]*Inventario5[[#This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IF(Inventario5[[#This Row],[Cantidad de unidades por bulto]]=0, 0, Inventario5[[#This Row],[Precio por bulto ($)]]/Inventario5[[#This Row],[Cantidad de unidades por bulto]])</f>
        <v>0.8773333333333333</v>
      </c>
      <c r="G7" s="9">
        <f>Inventario5[[#This Row],[Precio]]*Inventario5[[#This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IF(Inventario5[[#This Row],[Cantidad de unidades por bulto]]=0, 0, Inventario5[[#This Row],[Precio por bulto ($)]]/Inventario5[[#This Row],[Cantidad de unidades por bulto]])</f>
        <v>0.75</v>
      </c>
      <c r="G8" s="9">
        <f>Inventario5[[#This Row],[Precio]]*Inventario5[[#This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IF(Inventario5[[#This Row],[Cantidad de unidades por bulto]]=0, 0, Inventario5[[#This Row],[Precio por bulto ($)]]/Inventario5[[#This Row],[Cantidad de unidades por bulto]])</f>
        <v>0.75</v>
      </c>
      <c r="G9" s="9">
        <f>Inventario5[[#This Row],[Precio]]*Inventario5[[#This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IF(Inventario5[[#This Row],[Cantidad de unidades por bulto]]=0, 0, Inventario5[[#This Row],[Precio por bulto ($)]]/Inventario5[[#This Row],[Cantidad de unidades por bulto]])</f>
        <v>1.25</v>
      </c>
      <c r="G10" s="9">
        <f>Inventario5[[#This Row],[Precio]]*Inventario5[[#This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IF(Inventario5[[#This Row],[Cantidad de unidades por bulto]]=0, 0, Inventario5[[#This Row],[Precio por bulto ($)]]/Inventario5[[#This Row],[Cantidad de unidades por bulto]])</f>
        <v>11</v>
      </c>
      <c r="G11" s="9">
        <f>Inventario5[[#This Row],[Precio]]*Inventario5[[#This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IF(Inventario5[[#This Row],[Cantidad de unidades por bulto]]=0, 0, Inventario5[[#This Row],[Precio por bulto ($)]]/Inventario5[[#This Row],[Cantidad de unidades por bulto]])</f>
        <v>11</v>
      </c>
      <c r="G12" s="9">
        <f>Inventario5[[#This Row],[Precio]]*Inventario5[[#This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IF(Inventario5[[#This Row],[Cantidad de unidades por bulto]]=0, 0, Inventario5[[#This Row],[Precio por bulto ($)]]/Inventario5[[#This Row],[Cantidad de unidades por bulto]])</f>
        <v>1.25</v>
      </c>
      <c r="G13" s="9">
        <f>Inventario5[[#This Row],[Precio]]*Inventario5[[#This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IF(Inventario5[[#This Row],[Cantidad de unidades por bulto]]=0, 0, Inventario5[[#This Row],[Precio por bulto ($)]]/Inventario5[[#This Row],[Cantidad de unidades por bulto]])</f>
        <v>1.125</v>
      </c>
      <c r="G14" s="9">
        <f>Inventario5[[#This Row],[Precio]]*Inventario5[[#This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IF(Inventario5[[#This Row],[Cantidad de unidades por bulto]]=0, 0, Inventario5[[#This Row],[Precio por bulto ($)]]/Inventario5[[#This Row],[Cantidad de unidades por bulto]])</f>
        <v>0.69916666666666671</v>
      </c>
      <c r="G15" s="9">
        <f>Inventario5[[#This Row],[Precio]]*Inventario5[[#This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IF(Inventario5[[#This Row],[Cantidad de unidades por bulto]]=0, 0, Inventario5[[#This Row],[Precio por bulto ($)]]/Inventario5[[#This Row],[Cantidad de unidades por bulto]])</f>
        <v>1.125</v>
      </c>
      <c r="G16" s="9">
        <f>Inventario5[[#This Row],[Precio]]*Inventario5[[#This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IF(Inventario5[[#This Row],[Cantidad de unidades por bulto]]=0, 0, Inventario5[[#This Row],[Precio por bulto ($)]]/Inventario5[[#This Row],[Cantidad de unidades por bulto]])</f>
        <v>1.125</v>
      </c>
      <c r="G17" s="9">
        <f>Inventario5[[#This Row],[Precio]]*Inventario5[[#This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IF(Inventario5[[#This Row],[Cantidad de unidades por bulto]]=0, 0, Inventario5[[#This Row],[Precio por bulto ($)]]/Inventario5[[#This Row],[Cantidad de unidades por bulto]])</f>
        <v>0.63461538461538458</v>
      </c>
      <c r="G18" s="9">
        <f>Inventario5[[#This Row],[Precio]]*Inventario5[[#This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IF(Inventario5[[#This Row],[Cantidad de unidades por bulto]]=0, 0, Inventario5[[#This Row],[Precio por bulto ($)]]/Inventario5[[#This Row],[Cantidad de unidades por bulto]])</f>
        <v>0.10416666666666667</v>
      </c>
      <c r="G19" s="9">
        <f>Inventario5[[#This Row],[Precio]]*Inventario5[[#This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IF(Inventario5[[#This Row],[Cantidad de unidades por bulto]]=0, 0, Inventario5[[#This Row],[Precio por bulto ($)]]/Inventario5[[#This Row],[Cantidad de unidades por bulto]])</f>
        <v>2.6</v>
      </c>
      <c r="G20" s="9">
        <f>Inventario5[[#This Row],[Precio]]*Inventario5[[#This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IF(Inventario5[[#This Row],[Cantidad de unidades por bulto]]=0, 0, Inventario5[[#This Row],[Precio por bulto ($)]]/Inventario5[[#This Row],[Cantidad de unidades por bulto]])</f>
        <v>0.9</v>
      </c>
      <c r="G21" s="9">
        <f>Inventario5[[#This Row],[Precio]]*Inventario5[[#This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IF(Inventario5[[#This Row],[Cantidad de unidades por bulto]]=0, 0, Inventario5[[#This Row],[Precio por bulto ($)]]/Inventario5[[#This Row],[Cantidad de unidades por bulto]])</f>
        <v>45</v>
      </c>
      <c r="G22" s="9">
        <f>Inventario5[[#This Row],[Precio]]*Inventario5[[#This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IF(Inventario5[[#This Row],[Cantidad de unidades por bulto]]=0, 0, Inventario5[[#This Row],[Precio por bulto ($)]]/Inventario5[[#This Row],[Cantidad de unidades por bulto]])</f>
        <v>1.6</v>
      </c>
      <c r="G23" s="9">
        <f>Inventario5[[#This Row],[Precio]]*Inventario5[[#This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IF(Inventario5[[#This Row],[Cantidad de unidades por bulto]]=0, 0, Inventario5[[#This Row],[Precio por bulto ($)]]/Inventario5[[#This Row],[Cantidad de unidades por bulto]])</f>
        <v>0.22</v>
      </c>
      <c r="G24" s="9">
        <f>Inventario5[[#This Row],[Precio]]*Inventario5[[#This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IF(Inventario5[[#This Row],[Cantidad de unidades por bulto]]=0, 0, Inventario5[[#This Row],[Precio por bulto ($)]]/Inventario5[[#This Row],[Cantidad de unidades por bulto]])</f>
        <v>0.35166666666666663</v>
      </c>
      <c r="G25" s="9">
        <f>Inventario5[[#This Row],[Precio]]*Inventario5[[#This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IF(Inventario5[[#This Row],[Cantidad de unidades por bulto]]=0, 0, Inventario5[[#This Row],[Precio por bulto ($)]]/Inventario5[[#This Row],[Cantidad de unidades por bulto]])</f>
        <v>1.8</v>
      </c>
      <c r="G26" s="9">
        <f>Inventario5[[#This Row],[Precio]]*Inventario5[[#This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IF(Inventario5[[#This Row],[Cantidad de unidades por bulto]]=0, 0, Inventario5[[#This Row],[Precio por bulto ($)]]/Inventario5[[#This Row],[Cantidad de unidades por bulto]])</f>
        <v>3.625</v>
      </c>
      <c r="G27" s="9">
        <f>Inventario5[[#This Row],[Precio]]*Inventario5[[#This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IF(Inventario5[[#This Row],[Cantidad de unidades por bulto]]=0, 0, Inventario5[[#This Row],[Precio por bulto ($)]]/Inventario5[[#This Row],[Cantidad de unidades por bulto]])</f>
        <v>0.52083333333333337</v>
      </c>
      <c r="G28" s="9">
        <f>Inventario5[[#This Row],[Precio]]*Inventario5[[#This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IF(Inventario5[[#This Row],[Cantidad de unidades por bulto]]=0, 0, Inventario5[[#This Row],[Precio por bulto ($)]]/Inventario5[[#This Row],[Cantidad de unidades por bulto]])</f>
        <v>29</v>
      </c>
      <c r="G29" s="9">
        <f>Inventario5[[#This Row],[Precio]]*Inventario5[[#This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IF(Inventario5[[#This Row],[Cantidad de unidades por bulto]]=0, 0, Inventario5[[#This Row],[Precio por bulto ($)]]/Inventario5[[#This Row],[Cantidad de unidades por bulto]])</f>
        <v>0.52083333333333337</v>
      </c>
      <c r="G30" s="9">
        <f>Inventario5[[#This Row],[Precio]]*Inventario5[[#This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IF(Inventario5[[#This Row],[Cantidad de unidades por bulto]]=0, 0, Inventario5[[#This Row],[Precio por bulto ($)]]/Inventario5[[#This Row],[Cantidad de unidades por bulto]])</f>
        <v>0.375</v>
      </c>
      <c r="G31" s="9">
        <f>Inventario5[[#This Row],[Precio]]*Inventario5[[#This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IF(Inventario5[[#This Row],[Cantidad de unidades por bulto]]=0, 0, Inventario5[[#This Row],[Precio por bulto ($)]]/Inventario5[[#This Row],[Cantidad de unidades por bulto]])</f>
        <v>7.05</v>
      </c>
      <c r="G32" s="9">
        <f>Inventario5[[#This Row],[Precio]]*Inventario5[[#This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IF(Inventario5[[#This Row],[Cantidad de unidades por bulto]]=0, 0, Inventario5[[#This Row],[Precio por bulto ($)]]/Inventario5[[#This Row],[Cantidad de unidades por bulto]])</f>
        <v>7.05</v>
      </c>
      <c r="G33" s="9">
        <f>Inventario5[[#This Row],[Precio]]*Inventario5[[#This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IF(Inventario5[[#This Row],[Cantidad de unidades por bulto]]=0, 0, Inventario5[[#This Row],[Precio por bulto ($)]]/Inventario5[[#This Row],[Cantidad de unidades por bulto]])</f>
        <v>7.05</v>
      </c>
      <c r="G34" s="9">
        <f>Inventario5[[#This Row],[Precio]]*Inventario5[[#This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IF(Inventario5[[#This Row],[Cantidad de unidades por bulto]]=0, 0, Inventario5[[#This Row],[Precio por bulto ($)]]/Inventario5[[#This Row],[Cantidad de unidades por bulto]])</f>
        <v>1.95</v>
      </c>
      <c r="G35" s="9">
        <f>Inventario5[[#This Row],[Precio]]*Inventario5[[#This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IF(Inventario5[[#This Row],[Cantidad de unidades por bulto]]=0, 0, Inventario5[[#This Row],[Precio por bulto ($)]]/Inventario5[[#This Row],[Cantidad de unidades por bulto]])</f>
        <v>0.3</v>
      </c>
      <c r="G36" s="9">
        <f>Inventario5[[#This Row],[Precio]]*Inventario5[[#This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IF(Inventario5[[#This Row],[Cantidad de unidades por bulto]]=0, 0, Inventario5[[#This Row],[Precio por bulto ($)]]/Inventario5[[#This Row],[Cantidad de unidades por bulto]])</f>
        <v>13.5</v>
      </c>
      <c r="G37" s="9">
        <f>Inventario5[[#This Row],[Precio]]*Inventario5[[#This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IF(Inventario5[[#This Row],[Cantidad de unidades por bulto]]=0, 0, Inventario5[[#This Row],[Precio por bulto ($)]]/Inventario5[[#This Row],[Cantidad de unidades por bulto]])</f>
        <v>11</v>
      </c>
      <c r="G38" s="9">
        <f>Inventario5[[#This Row],[Precio]]*Inventario5[[#This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IF(Inventario5[[#This Row],[Cantidad de unidades por bulto]]=0, 0, Inventario5[[#This Row],[Precio por bulto ($)]]/Inventario5[[#This Row],[Cantidad de unidades por bulto]])</f>
        <v>0.5625</v>
      </c>
      <c r="G39" s="9">
        <f>Inventario5[[#This Row],[Precio]]*Inventario5[[#This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IF(Inventario5[[#This Row],[Cantidad de unidades por bulto]]=0, 0, Inventario5[[#This Row],[Precio por bulto ($)]]/Inventario5[[#This Row],[Cantidad de unidades por bulto]])</f>
        <v>2</v>
      </c>
      <c r="G40" s="9">
        <f>Inventario5[[#This Row],[Precio]]*Inventario5[[#This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9BCE7-1093-4EC3-A5DE-87C5867F9C37}">
  <sheetPr codeName="Hoja4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SUM(Inventario3[Importe])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IF(Inventario3[[#This Row],[Cantidad de unidades por bulto]]=0, 0, Inventario3[[#This Row],[Precio por bulto ($)]]/Inventario3[[#This Row],[Cantidad de unidades por bulto]])</f>
        <v>1.25</v>
      </c>
      <c r="G2" s="9">
        <f>Inventario3[[#This Row],[Precio]]*Inventario3[[#This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IF(Inventario3[[#This Row],[Cantidad de unidades por bulto]]=0, 0, Inventario3[[#This Row],[Precio por bulto ($)]]/Inventario3[[#This Row],[Cantidad de unidades por bulto]])</f>
        <v>1.2250000000000001</v>
      </c>
      <c r="G3" s="9">
        <f>Inventario3[[#This Row],[Precio]]*Inventario3[[#This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IF(Inventario3[[#This Row],[Cantidad de unidades por bulto]]=0, 0, Inventario3[[#This Row],[Precio por bulto ($)]]/Inventario3[[#This Row],[Cantidad de unidades por bulto]])</f>
        <v>0.81</v>
      </c>
      <c r="G4" s="9">
        <f>Inventario3[[#This Row],[Precio]]*Inventario3[[#This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IF(Inventario3[[#This Row],[Cantidad de unidades por bulto]]=0, 0, Inventario3[[#This Row],[Precio por bulto ($)]]/Inventario3[[#This Row],[Cantidad de unidades por bulto]])</f>
        <v>0.8</v>
      </c>
      <c r="G5" s="9">
        <f>Inventario3[[#This Row],[Precio]]*Inventario3[[#This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IF(Inventario3[[#This Row],[Cantidad de unidades por bulto]]=0, 0, Inventario3[[#This Row],[Precio por bulto ($)]]/Inventario3[[#This Row],[Cantidad de unidades por bulto]])</f>
        <v>0.81</v>
      </c>
      <c r="G6" s="9">
        <f>Inventario3[[#This Row],[Precio]]*Inventario3[[#This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IF(Inventario3[[#This Row],[Cantidad de unidades por bulto]]=0, 0, Inventario3[[#This Row],[Precio por bulto ($)]]/Inventario3[[#This Row],[Cantidad de unidades por bulto]])</f>
        <v>0.8773333333333333</v>
      </c>
      <c r="G7" s="9">
        <f>Inventario3[[#This Row],[Precio]]*Inventario3[[#This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IF(Inventario3[[#This Row],[Cantidad de unidades por bulto]]=0, 0, Inventario3[[#This Row],[Precio por bulto ($)]]/Inventario3[[#This Row],[Cantidad de unidades por bulto]])</f>
        <v>0.75</v>
      </c>
      <c r="G8" s="9">
        <f>Inventario3[[#This Row],[Precio]]*Inventario3[[#This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IF(Inventario3[[#This Row],[Cantidad de unidades por bulto]]=0, 0, Inventario3[[#This Row],[Precio por bulto ($)]]/Inventario3[[#This Row],[Cantidad de unidades por bulto]])</f>
        <v>0.75</v>
      </c>
      <c r="G9" s="9">
        <f>Inventario3[[#This Row],[Precio]]*Inventario3[[#This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IF(Inventario3[[#This Row],[Cantidad de unidades por bulto]]=0, 0, Inventario3[[#This Row],[Precio por bulto ($)]]/Inventario3[[#This Row],[Cantidad de unidades por bulto]])</f>
        <v>1.25</v>
      </c>
      <c r="G10" s="9">
        <f>Inventario3[[#This Row],[Precio]]*Inventario3[[#This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IF(Inventario3[[#This Row],[Cantidad de unidades por bulto]]=0, 0, Inventario3[[#This Row],[Precio por bulto ($)]]/Inventario3[[#This Row],[Cantidad de unidades por bulto]])</f>
        <v>11</v>
      </c>
      <c r="G11" s="9">
        <f>Inventario3[[#This Row],[Precio]]*Inventario3[[#This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IF(Inventario3[[#This Row],[Cantidad de unidades por bulto]]=0, 0, Inventario3[[#This Row],[Precio por bulto ($)]]/Inventario3[[#This Row],[Cantidad de unidades por bulto]])</f>
        <v>11</v>
      </c>
      <c r="G12" s="9">
        <f>Inventario3[[#This Row],[Precio]]*Inventario3[[#This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IF(Inventario3[[#This Row],[Cantidad de unidades por bulto]]=0, 0, Inventario3[[#This Row],[Precio por bulto ($)]]/Inventario3[[#This Row],[Cantidad de unidades por bulto]])</f>
        <v>1.25</v>
      </c>
      <c r="G13" s="9">
        <f>Inventario3[[#This Row],[Precio]]*Inventario3[[#This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IF(Inventario3[[#This Row],[Cantidad de unidades por bulto]]=0, 0, Inventario3[[#This Row],[Precio por bulto ($)]]/Inventario3[[#This Row],[Cantidad de unidades por bulto]])</f>
        <v>1.125</v>
      </c>
      <c r="G14" s="9">
        <f>Inventario3[[#This Row],[Precio]]*Inventario3[[#This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IF(Inventario3[[#This Row],[Cantidad de unidades por bulto]]=0, 0, Inventario3[[#This Row],[Precio por bulto ($)]]/Inventario3[[#This Row],[Cantidad de unidades por bulto]])</f>
        <v>0.69916666666666671</v>
      </c>
      <c r="G15" s="9">
        <f>Inventario3[[#This Row],[Precio]]*Inventario3[[#This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IF(Inventario3[[#This Row],[Cantidad de unidades por bulto]]=0, 0, Inventario3[[#This Row],[Precio por bulto ($)]]/Inventario3[[#This Row],[Cantidad de unidades por bulto]])</f>
        <v>1.125</v>
      </c>
      <c r="G16" s="9">
        <f>Inventario3[[#This Row],[Precio]]*Inventario3[[#This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IF(Inventario3[[#This Row],[Cantidad de unidades por bulto]]=0, 0, Inventario3[[#This Row],[Precio por bulto ($)]]/Inventario3[[#This Row],[Cantidad de unidades por bulto]])</f>
        <v>1.125</v>
      </c>
      <c r="G17" s="9">
        <f>Inventario3[[#This Row],[Precio]]*Inventario3[[#This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IF(Inventario3[[#This Row],[Cantidad de unidades por bulto]]=0, 0, Inventario3[[#This Row],[Precio por bulto ($)]]/Inventario3[[#This Row],[Cantidad de unidades por bulto]])</f>
        <v>0.63461538461538458</v>
      </c>
      <c r="G18" s="9">
        <f>Inventario3[[#This Row],[Precio]]*Inventario3[[#This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IF(Inventario3[[#This Row],[Cantidad de unidades por bulto]]=0, 0, Inventario3[[#This Row],[Precio por bulto ($)]]/Inventario3[[#This Row],[Cantidad de unidades por bulto]])</f>
        <v>0.10416666666666667</v>
      </c>
      <c r="G19" s="9">
        <f>Inventario3[[#This Row],[Precio]]*Inventario3[[#This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IF(Inventario3[[#This Row],[Cantidad de unidades por bulto]]=0, 0, Inventario3[[#This Row],[Precio por bulto ($)]]/Inventario3[[#This Row],[Cantidad de unidades por bulto]])</f>
        <v>2.6</v>
      </c>
      <c r="G20" s="9">
        <f>Inventario3[[#This Row],[Precio]]*Inventario3[[#This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IF(Inventario3[[#This Row],[Cantidad de unidades por bulto]]=0, 0, Inventario3[[#This Row],[Precio por bulto ($)]]/Inventario3[[#This Row],[Cantidad de unidades por bulto]])</f>
        <v>0.9</v>
      </c>
      <c r="G21" s="9">
        <f>Inventario3[[#This Row],[Precio]]*Inventario3[[#This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IF(Inventario3[[#This Row],[Cantidad de unidades por bulto]]=0, 0, Inventario3[[#This Row],[Precio por bulto ($)]]/Inventario3[[#This Row],[Cantidad de unidades por bulto]])</f>
        <v>45</v>
      </c>
      <c r="G22" s="9">
        <f>Inventario3[[#This Row],[Precio]]*Inventario3[[#This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IF(Inventario3[[#This Row],[Cantidad de unidades por bulto]]=0, 0, Inventario3[[#This Row],[Precio por bulto ($)]]/Inventario3[[#This Row],[Cantidad de unidades por bulto]])</f>
        <v>1.6</v>
      </c>
      <c r="G23" s="9">
        <f>Inventario3[[#This Row],[Precio]]*Inventario3[[#This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IF(Inventario3[[#This Row],[Cantidad de unidades por bulto]]=0, 0, Inventario3[[#This Row],[Precio por bulto ($)]]/Inventario3[[#This Row],[Cantidad de unidades por bulto]])</f>
        <v>0.22</v>
      </c>
      <c r="G24" s="9">
        <f>Inventario3[[#This Row],[Precio]]*Inventario3[[#This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IF(Inventario3[[#This Row],[Cantidad de unidades por bulto]]=0, 0, Inventario3[[#This Row],[Precio por bulto ($)]]/Inventario3[[#This Row],[Cantidad de unidades por bulto]])</f>
        <v>0.35166666666666663</v>
      </c>
      <c r="G25" s="9">
        <f>Inventario3[[#This Row],[Precio]]*Inventario3[[#This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IF(Inventario3[[#This Row],[Cantidad de unidades por bulto]]=0, 0, Inventario3[[#This Row],[Precio por bulto ($)]]/Inventario3[[#This Row],[Cantidad de unidades por bulto]])</f>
        <v>1.8</v>
      </c>
      <c r="G26" s="9">
        <f>Inventario3[[#This Row],[Precio]]*Inventario3[[#This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IF(Inventario3[[#This Row],[Cantidad de unidades por bulto]]=0, 0, Inventario3[[#This Row],[Precio por bulto ($)]]/Inventario3[[#This Row],[Cantidad de unidades por bulto]])</f>
        <v>3.625</v>
      </c>
      <c r="G27" s="9">
        <f>Inventario3[[#This Row],[Precio]]*Inventario3[[#This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IF(Inventario3[[#This Row],[Cantidad de unidades por bulto]]=0, 0, Inventario3[[#This Row],[Precio por bulto ($)]]/Inventario3[[#This Row],[Cantidad de unidades por bulto]])</f>
        <v>0.52083333333333337</v>
      </c>
      <c r="G28" s="9">
        <f>Inventario3[[#This Row],[Precio]]*Inventario3[[#This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IF(Inventario3[[#This Row],[Cantidad de unidades por bulto]]=0, 0, Inventario3[[#This Row],[Precio por bulto ($)]]/Inventario3[[#This Row],[Cantidad de unidades por bulto]])</f>
        <v>29</v>
      </c>
      <c r="G29" s="9">
        <f>Inventario3[[#This Row],[Precio]]*Inventario3[[#This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IF(Inventario3[[#This Row],[Cantidad de unidades por bulto]]=0, 0, Inventario3[[#This Row],[Precio por bulto ($)]]/Inventario3[[#This Row],[Cantidad de unidades por bulto]])</f>
        <v>0.52083333333333337</v>
      </c>
      <c r="G30" s="9">
        <f>Inventario3[[#This Row],[Precio]]*Inventario3[[#This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IF(Inventario3[[#This Row],[Cantidad de unidades por bulto]]=0, 0, Inventario3[[#This Row],[Precio por bulto ($)]]/Inventario3[[#This Row],[Cantidad de unidades por bulto]])</f>
        <v>0.375</v>
      </c>
      <c r="G31" s="9">
        <f>Inventario3[[#This Row],[Precio]]*Inventario3[[#This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IF(Inventario3[[#This Row],[Cantidad de unidades por bulto]]=0, 0, Inventario3[[#This Row],[Precio por bulto ($)]]/Inventario3[[#This Row],[Cantidad de unidades por bulto]])</f>
        <v>7.05</v>
      </c>
      <c r="G32" s="9">
        <f>Inventario3[[#This Row],[Precio]]*Inventario3[[#This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IF(Inventario3[[#This Row],[Cantidad de unidades por bulto]]=0, 0, Inventario3[[#This Row],[Precio por bulto ($)]]/Inventario3[[#This Row],[Cantidad de unidades por bulto]])</f>
        <v>7.05</v>
      </c>
      <c r="G33" s="9">
        <f>Inventario3[[#This Row],[Precio]]*Inventario3[[#This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IF(Inventario3[[#This Row],[Cantidad de unidades por bulto]]=0, 0, Inventario3[[#This Row],[Precio por bulto ($)]]/Inventario3[[#This Row],[Cantidad de unidades por bulto]])</f>
        <v>7.05</v>
      </c>
      <c r="G34" s="9">
        <f>Inventario3[[#This Row],[Precio]]*Inventario3[[#This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IF(Inventario3[[#This Row],[Cantidad de unidades por bulto]]=0, 0, Inventario3[[#This Row],[Precio por bulto ($)]]/Inventario3[[#This Row],[Cantidad de unidades por bulto]])</f>
        <v>1.95</v>
      </c>
      <c r="G35" s="9">
        <f>Inventario3[[#This Row],[Precio]]*Inventario3[[#This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IF(Inventario3[[#This Row],[Cantidad de unidades por bulto]]=0, 0, Inventario3[[#This Row],[Precio por bulto ($)]]/Inventario3[[#This Row],[Cantidad de unidades por bulto]])</f>
        <v>0.3</v>
      </c>
      <c r="G36" s="9">
        <f>Inventario3[[#This Row],[Precio]]*Inventario3[[#This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IF(Inventario3[[#This Row],[Cantidad de unidades por bulto]]=0, 0, Inventario3[[#This Row],[Precio por bulto ($)]]/Inventario3[[#This Row],[Cantidad de unidades por bulto]])</f>
        <v>13.5</v>
      </c>
      <c r="G37" s="9">
        <f>Inventario3[[#This Row],[Precio]]*Inventario3[[#This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IF(Inventario3[[#This Row],[Cantidad de unidades por bulto]]=0, 0, Inventario3[[#This Row],[Precio por bulto ($)]]/Inventario3[[#This Row],[Cantidad de unidades por bulto]])</f>
        <v>11</v>
      </c>
      <c r="G38" s="9">
        <f>Inventario3[[#This Row],[Precio]]*Inventario3[[#This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IF(Inventario3[[#This Row],[Cantidad de unidades por bulto]]=0, 0, Inventario3[[#This Row],[Precio por bulto ($)]]/Inventario3[[#This Row],[Cantidad de unidades por bulto]])</f>
        <v>0.5625</v>
      </c>
      <c r="G39" s="9">
        <f>Inventario3[[#This Row],[Precio]]*Inventario3[[#This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IF(Inventario3[[#This Row],[Cantidad de unidades por bulto]]=0, 0, Inventario3[[#This Row],[Precio por bulto ($)]]/Inventario3[[#This Row],[Cantidad de unidades por bulto]])</f>
        <v>2</v>
      </c>
      <c r="G40" s="9">
        <f>Inventario3[[#This Row],[Precio]]*Inventario3[[#This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6E5B7-F617-4F45-89F9-C8AA1235E0BD}">
  <sheetPr codeName="Hoja3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SUM(Inventario2[Importe])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IF(Inventario2[[#This Row],[Cantidad de unidades por bulto]]=0, 0, Inventario2[[#This Row],[Precio por bulto ($)]]/Inventario2[[#This Row],[Cantidad de unidades por bulto]])</f>
        <v>1.25</v>
      </c>
      <c r="G2" s="9">
        <f>Inventario2[[#This Row],[Precio]]*Inventario2[[#This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IF(Inventario2[[#This Row],[Cantidad de unidades por bulto]]=0, 0, Inventario2[[#This Row],[Precio por bulto ($)]]/Inventario2[[#This Row],[Cantidad de unidades por bulto]])</f>
        <v>1.2250000000000001</v>
      </c>
      <c r="G3" s="9">
        <f>Inventario2[[#This Row],[Precio]]*Inventario2[[#This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IF(Inventario2[[#This Row],[Cantidad de unidades por bulto]]=0, 0, Inventario2[[#This Row],[Precio por bulto ($)]]/Inventario2[[#This Row],[Cantidad de unidades por bulto]])</f>
        <v>0.81</v>
      </c>
      <c r="G4" s="9">
        <f>Inventario2[[#This Row],[Precio]]*Inventario2[[#This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IF(Inventario2[[#This Row],[Cantidad de unidades por bulto]]=0, 0, Inventario2[[#This Row],[Precio por bulto ($)]]/Inventario2[[#This Row],[Cantidad de unidades por bulto]])</f>
        <v>0.8</v>
      </c>
      <c r="G5" s="9">
        <f>Inventario2[[#This Row],[Precio]]*Inventario2[[#This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IF(Inventario2[[#This Row],[Cantidad de unidades por bulto]]=0, 0, Inventario2[[#This Row],[Precio por bulto ($)]]/Inventario2[[#This Row],[Cantidad de unidades por bulto]])</f>
        <v>0.81</v>
      </c>
      <c r="G6" s="9">
        <f>Inventario2[[#This Row],[Precio]]*Inventario2[[#This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IF(Inventario2[[#This Row],[Cantidad de unidades por bulto]]=0, 0, Inventario2[[#This Row],[Precio por bulto ($)]]/Inventario2[[#This Row],[Cantidad de unidades por bulto]])</f>
        <v>0.8773333333333333</v>
      </c>
      <c r="G7" s="9">
        <f>Inventario2[[#This Row],[Precio]]*Inventario2[[#This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IF(Inventario2[[#This Row],[Cantidad de unidades por bulto]]=0, 0, Inventario2[[#This Row],[Precio por bulto ($)]]/Inventario2[[#This Row],[Cantidad de unidades por bulto]])</f>
        <v>0.75</v>
      </c>
      <c r="G8" s="9">
        <f>Inventario2[[#This Row],[Precio]]*Inventario2[[#This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IF(Inventario2[[#This Row],[Cantidad de unidades por bulto]]=0, 0, Inventario2[[#This Row],[Precio por bulto ($)]]/Inventario2[[#This Row],[Cantidad de unidades por bulto]])</f>
        <v>0.75</v>
      </c>
      <c r="G9" s="9">
        <f>Inventario2[[#This Row],[Precio]]*Inventario2[[#This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IF(Inventario2[[#This Row],[Cantidad de unidades por bulto]]=0, 0, Inventario2[[#This Row],[Precio por bulto ($)]]/Inventario2[[#This Row],[Cantidad de unidades por bulto]])</f>
        <v>1.25</v>
      </c>
      <c r="G10" s="9">
        <f>Inventario2[[#This Row],[Precio]]*Inventario2[[#This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IF(Inventario2[[#This Row],[Cantidad de unidades por bulto]]=0, 0, Inventario2[[#This Row],[Precio por bulto ($)]]/Inventario2[[#This Row],[Cantidad de unidades por bulto]])</f>
        <v>11</v>
      </c>
      <c r="G11" s="9">
        <f>Inventario2[[#This Row],[Precio]]*Inventario2[[#This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IF(Inventario2[[#This Row],[Cantidad de unidades por bulto]]=0, 0, Inventario2[[#This Row],[Precio por bulto ($)]]/Inventario2[[#This Row],[Cantidad de unidades por bulto]])</f>
        <v>11</v>
      </c>
      <c r="G12" s="9">
        <f>Inventario2[[#This Row],[Precio]]*Inventario2[[#This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IF(Inventario2[[#This Row],[Cantidad de unidades por bulto]]=0, 0, Inventario2[[#This Row],[Precio por bulto ($)]]/Inventario2[[#This Row],[Cantidad de unidades por bulto]])</f>
        <v>1.25</v>
      </c>
      <c r="G13" s="9">
        <f>Inventario2[[#This Row],[Precio]]*Inventario2[[#This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IF(Inventario2[[#This Row],[Cantidad de unidades por bulto]]=0, 0, Inventario2[[#This Row],[Precio por bulto ($)]]/Inventario2[[#This Row],[Cantidad de unidades por bulto]])</f>
        <v>1.125</v>
      </c>
      <c r="G14" s="9">
        <f>Inventario2[[#This Row],[Precio]]*Inventario2[[#This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IF(Inventario2[[#This Row],[Cantidad de unidades por bulto]]=0, 0, Inventario2[[#This Row],[Precio por bulto ($)]]/Inventario2[[#This Row],[Cantidad de unidades por bulto]])</f>
        <v>0.69916666666666671</v>
      </c>
      <c r="G15" s="9">
        <f>Inventario2[[#This Row],[Precio]]*Inventario2[[#This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IF(Inventario2[[#This Row],[Cantidad de unidades por bulto]]=0, 0, Inventario2[[#This Row],[Precio por bulto ($)]]/Inventario2[[#This Row],[Cantidad de unidades por bulto]])</f>
        <v>1.125</v>
      </c>
      <c r="G16" s="9">
        <f>Inventario2[[#This Row],[Precio]]*Inventario2[[#This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IF(Inventario2[[#This Row],[Cantidad de unidades por bulto]]=0, 0, Inventario2[[#This Row],[Precio por bulto ($)]]/Inventario2[[#This Row],[Cantidad de unidades por bulto]])</f>
        <v>1.125</v>
      </c>
      <c r="G17" s="9">
        <f>Inventario2[[#This Row],[Precio]]*Inventario2[[#This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IF(Inventario2[[#This Row],[Cantidad de unidades por bulto]]=0, 0, Inventario2[[#This Row],[Precio por bulto ($)]]/Inventario2[[#This Row],[Cantidad de unidades por bulto]])</f>
        <v>0.63461538461538458</v>
      </c>
      <c r="G18" s="9">
        <f>Inventario2[[#This Row],[Precio]]*Inventario2[[#This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IF(Inventario2[[#This Row],[Cantidad de unidades por bulto]]=0, 0, Inventario2[[#This Row],[Precio por bulto ($)]]/Inventario2[[#This Row],[Cantidad de unidades por bulto]])</f>
        <v>0.10416666666666667</v>
      </c>
      <c r="G19" s="9">
        <f>Inventario2[[#This Row],[Precio]]*Inventario2[[#This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IF(Inventario2[[#This Row],[Cantidad de unidades por bulto]]=0, 0, Inventario2[[#This Row],[Precio por bulto ($)]]/Inventario2[[#This Row],[Cantidad de unidades por bulto]])</f>
        <v>2.6</v>
      </c>
      <c r="G20" s="9">
        <f>Inventario2[[#This Row],[Precio]]*Inventario2[[#This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IF(Inventario2[[#This Row],[Cantidad de unidades por bulto]]=0, 0, Inventario2[[#This Row],[Precio por bulto ($)]]/Inventario2[[#This Row],[Cantidad de unidades por bulto]])</f>
        <v>0.9</v>
      </c>
      <c r="G21" s="9">
        <f>Inventario2[[#This Row],[Precio]]*Inventario2[[#This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IF(Inventario2[[#This Row],[Cantidad de unidades por bulto]]=0, 0, Inventario2[[#This Row],[Precio por bulto ($)]]/Inventario2[[#This Row],[Cantidad de unidades por bulto]])</f>
        <v>45</v>
      </c>
      <c r="G22" s="9">
        <f>Inventario2[[#This Row],[Precio]]*Inventario2[[#This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IF(Inventario2[[#This Row],[Cantidad de unidades por bulto]]=0, 0, Inventario2[[#This Row],[Precio por bulto ($)]]/Inventario2[[#This Row],[Cantidad de unidades por bulto]])</f>
        <v>1.6</v>
      </c>
      <c r="G23" s="9">
        <f>Inventario2[[#This Row],[Precio]]*Inventario2[[#This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IF(Inventario2[[#This Row],[Cantidad de unidades por bulto]]=0, 0, Inventario2[[#This Row],[Precio por bulto ($)]]/Inventario2[[#This Row],[Cantidad de unidades por bulto]])</f>
        <v>0.22</v>
      </c>
      <c r="G24" s="9">
        <f>Inventario2[[#This Row],[Precio]]*Inventario2[[#This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IF(Inventario2[[#This Row],[Cantidad de unidades por bulto]]=0, 0, Inventario2[[#This Row],[Precio por bulto ($)]]/Inventario2[[#This Row],[Cantidad de unidades por bulto]])</f>
        <v>0.35166666666666663</v>
      </c>
      <c r="G25" s="9">
        <f>Inventario2[[#This Row],[Precio]]*Inventario2[[#This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IF(Inventario2[[#This Row],[Cantidad de unidades por bulto]]=0, 0, Inventario2[[#This Row],[Precio por bulto ($)]]/Inventario2[[#This Row],[Cantidad de unidades por bulto]])</f>
        <v>1.8</v>
      </c>
      <c r="G26" s="9">
        <f>Inventario2[[#This Row],[Precio]]*Inventario2[[#This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IF(Inventario2[[#This Row],[Cantidad de unidades por bulto]]=0, 0, Inventario2[[#This Row],[Precio por bulto ($)]]/Inventario2[[#This Row],[Cantidad de unidades por bulto]])</f>
        <v>3.625</v>
      </c>
      <c r="G27" s="9">
        <f>Inventario2[[#This Row],[Precio]]*Inventario2[[#This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IF(Inventario2[[#This Row],[Cantidad de unidades por bulto]]=0, 0, Inventario2[[#This Row],[Precio por bulto ($)]]/Inventario2[[#This Row],[Cantidad de unidades por bulto]])</f>
        <v>0.52083333333333337</v>
      </c>
      <c r="G28" s="9">
        <f>Inventario2[[#This Row],[Precio]]*Inventario2[[#This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IF(Inventario2[[#This Row],[Cantidad de unidades por bulto]]=0, 0, Inventario2[[#This Row],[Precio por bulto ($)]]/Inventario2[[#This Row],[Cantidad de unidades por bulto]])</f>
        <v>29</v>
      </c>
      <c r="G29" s="9">
        <f>Inventario2[[#This Row],[Precio]]*Inventario2[[#This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IF(Inventario2[[#This Row],[Cantidad de unidades por bulto]]=0, 0, Inventario2[[#This Row],[Precio por bulto ($)]]/Inventario2[[#This Row],[Cantidad de unidades por bulto]])</f>
        <v>0.52083333333333337</v>
      </c>
      <c r="G30" s="9">
        <f>Inventario2[[#This Row],[Precio]]*Inventario2[[#This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IF(Inventario2[[#This Row],[Cantidad de unidades por bulto]]=0, 0, Inventario2[[#This Row],[Precio por bulto ($)]]/Inventario2[[#This Row],[Cantidad de unidades por bulto]])</f>
        <v>0.375</v>
      </c>
      <c r="G31" s="9">
        <f>Inventario2[[#This Row],[Precio]]*Inventario2[[#This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IF(Inventario2[[#This Row],[Cantidad de unidades por bulto]]=0, 0, Inventario2[[#This Row],[Precio por bulto ($)]]/Inventario2[[#This Row],[Cantidad de unidades por bulto]])</f>
        <v>7.05</v>
      </c>
      <c r="G32" s="9">
        <f>Inventario2[[#This Row],[Precio]]*Inventario2[[#This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IF(Inventario2[[#This Row],[Cantidad de unidades por bulto]]=0, 0, Inventario2[[#This Row],[Precio por bulto ($)]]/Inventario2[[#This Row],[Cantidad de unidades por bulto]])</f>
        <v>7.05</v>
      </c>
      <c r="G33" s="9">
        <f>Inventario2[[#This Row],[Precio]]*Inventario2[[#This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IF(Inventario2[[#This Row],[Cantidad de unidades por bulto]]=0, 0, Inventario2[[#This Row],[Precio por bulto ($)]]/Inventario2[[#This Row],[Cantidad de unidades por bulto]])</f>
        <v>7.05</v>
      </c>
      <c r="G34" s="9">
        <f>Inventario2[[#This Row],[Precio]]*Inventario2[[#This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IF(Inventario2[[#This Row],[Cantidad de unidades por bulto]]=0, 0, Inventario2[[#This Row],[Precio por bulto ($)]]/Inventario2[[#This Row],[Cantidad de unidades por bulto]])</f>
        <v>1.95</v>
      </c>
      <c r="G35" s="9">
        <f>Inventario2[[#This Row],[Precio]]*Inventario2[[#This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IF(Inventario2[[#This Row],[Cantidad de unidades por bulto]]=0, 0, Inventario2[[#This Row],[Precio por bulto ($)]]/Inventario2[[#This Row],[Cantidad de unidades por bulto]])</f>
        <v>0.3</v>
      </c>
      <c r="G36" s="9">
        <f>Inventario2[[#This Row],[Precio]]*Inventario2[[#This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IF(Inventario2[[#This Row],[Cantidad de unidades por bulto]]=0, 0, Inventario2[[#This Row],[Precio por bulto ($)]]/Inventario2[[#This Row],[Cantidad de unidades por bulto]])</f>
        <v>13.5</v>
      </c>
      <c r="G37" s="9">
        <f>Inventario2[[#This Row],[Precio]]*Inventario2[[#This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IF(Inventario2[[#This Row],[Cantidad de unidades por bulto]]=0, 0, Inventario2[[#This Row],[Precio por bulto ($)]]/Inventario2[[#This Row],[Cantidad de unidades por bulto]])</f>
        <v>11</v>
      </c>
      <c r="G38" s="9">
        <f>Inventario2[[#This Row],[Precio]]*Inventario2[[#This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IF(Inventario2[[#This Row],[Cantidad de unidades por bulto]]=0, 0, Inventario2[[#This Row],[Precio por bulto ($)]]/Inventario2[[#This Row],[Cantidad de unidades por bulto]])</f>
        <v>0.5625</v>
      </c>
      <c r="G39" s="9">
        <f>Inventario2[[#This Row],[Precio]]*Inventario2[[#This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IF(Inventario2[[#This Row],[Cantidad de unidades por bulto]]=0, 0, Inventario2[[#This Row],[Precio por bulto ($)]]/Inventario2[[#This Row],[Cantidad de unidades por bulto]])</f>
        <v>2</v>
      </c>
      <c r="G40" s="9">
        <f>Inventario2[[#This Row],[Precio]]*Inventario2[[#This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IF(Inventario[[#This Row],[Cantidad de unidades por bulto]]=0, 0, Inventario[[#This Row],[Precio por bulto ($)]]/Inventario[[#This Row],[Cantidad de unidades por bulto]])</f>
        <v>1.25</v>
      </c>
      <c r="G2" s="9">
        <f>Inventario[[#This Row],[Precio]]*Inventario[[#This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IF(Inventario[[#This Row],[Cantidad de unidades por bulto]]=0, 0, Inventario[[#This Row],[Precio por bulto ($)]]/Inventario[[#This Row],[Cantidad de unidades por bulto]])</f>
        <v>1.2250000000000001</v>
      </c>
      <c r="G3" s="9">
        <f>Inventario[[#This Row],[Precio]]*Inventario[[#This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IF(Inventario[[#This Row],[Cantidad de unidades por bulto]]=0, 0, Inventario[[#This Row],[Precio por bulto ($)]]/Inventario[[#This Row],[Cantidad de unidades por bulto]])</f>
        <v>0.81</v>
      </c>
      <c r="G4" s="9">
        <f>Inventario[[#This Row],[Precio]]*Inventario[[#This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IF(Inventario[[#This Row],[Cantidad de unidades por bulto]]=0, 0, Inventario[[#This Row],[Precio por bulto ($)]]/Inventario[[#This Row],[Cantidad de unidades por bulto]])</f>
        <v>0.8</v>
      </c>
      <c r="G5" s="9">
        <f>Inventario[[#This Row],[Precio]]*Inventario[[#This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IF(Inventario[[#This Row],[Cantidad de unidades por bulto]]=0, 0, Inventario[[#This Row],[Precio por bulto ($)]]/Inventario[[#This Row],[Cantidad de unidades por bulto]])</f>
        <v>0.81</v>
      </c>
      <c r="G6" s="9">
        <f>Inventario[[#This Row],[Precio]]*Inventario[[#This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IF(Inventario[[#This Row],[Cantidad de unidades por bulto]]=0, 0, Inventario[[#This Row],[Precio por bulto ($)]]/Inventario[[#This Row],[Cantidad de unidades por bulto]])</f>
        <v>0.8773333333333333</v>
      </c>
      <c r="G7" s="9">
        <f>Inventario[[#This Row],[Precio]]*Inventario[[#This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IF(Inventario[[#This Row],[Cantidad de unidades por bulto]]=0, 0, Inventario[[#This Row],[Precio por bulto ($)]]/Inventario[[#This Row],[Cantidad de unidades por bulto]])</f>
        <v>0.75</v>
      </c>
      <c r="G8" s="9">
        <f>Inventario[[#This Row],[Precio]]*Inventario[[#This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IF(Inventario[[#This Row],[Cantidad de unidades por bulto]]=0, 0, Inventario[[#This Row],[Precio por bulto ($)]]/Inventario[[#This Row],[Cantidad de unidades por bulto]])</f>
        <v>0.75</v>
      </c>
      <c r="G9" s="9">
        <f>Inventario[[#This Row],[Precio]]*Inventario[[#This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IF(Inventario[[#This Row],[Cantidad de unidades por bulto]]=0, 0, Inventario[[#This Row],[Precio por bulto ($)]]/Inventario[[#This Row],[Cantidad de unidades por bulto]])</f>
        <v>1.25</v>
      </c>
      <c r="G10" s="9">
        <f>Inventario[[#This Row],[Precio]]*Inventario[[#This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IF(Inventario[[#This Row],[Cantidad de unidades por bulto]]=0, 0, Inventario[[#This Row],[Precio por bulto ($)]]/Inventario[[#This Row],[Cantidad de unidades por bulto]])</f>
        <v>11</v>
      </c>
      <c r="G11" s="9">
        <f>Inventario[[#This Row],[Precio]]*Inventario[[#This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IF(Inventario[[#This Row],[Cantidad de unidades por bulto]]=0, 0, Inventario[[#This Row],[Precio por bulto ($)]]/Inventario[[#This Row],[Cantidad de unidades por bulto]])</f>
        <v>11</v>
      </c>
      <c r="G12" s="9">
        <f>Inventario[[#This Row],[Precio]]*Inventario[[#This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IF(Inventario[[#This Row],[Cantidad de unidades por bulto]]=0, 0, Inventario[[#This Row],[Precio por bulto ($)]]/Inventario[[#This Row],[Cantidad de unidades por bulto]])</f>
        <v>1.25</v>
      </c>
      <c r="G13" s="9">
        <f>Inventario[[#This Row],[Precio]]*Inventario[[#This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IF(Inventario[[#This Row],[Cantidad de unidades por bulto]]=0, 0, Inventario[[#This Row],[Precio por bulto ($)]]/Inventario[[#This Row],[Cantidad de unidades por bulto]])</f>
        <v>1.125</v>
      </c>
      <c r="G14" s="9">
        <f>Inventario[[#This Row],[Precio]]*Inventario[[#This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IF(Inventario[[#This Row],[Cantidad de unidades por bulto]]=0, 0, Inventario[[#This Row],[Precio por bulto ($)]]/Inventario[[#This Row],[Cantidad de unidades por bulto]])</f>
        <v>0.69916666666666671</v>
      </c>
      <c r="G15" s="9">
        <f>Inventario[[#This Row],[Precio]]*Inventario[[#This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IF(Inventario[[#This Row],[Cantidad de unidades por bulto]]=0, 0, Inventario[[#This Row],[Precio por bulto ($)]]/Inventario[[#This Row],[Cantidad de unidades por bulto]])</f>
        <v>1.125</v>
      </c>
      <c r="G16" s="9">
        <f>Inventario[[#This Row],[Precio]]*Inventario[[#This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IF(Inventario[[#This Row],[Cantidad de unidades por bulto]]=0, 0, Inventario[[#This Row],[Precio por bulto ($)]]/Inventario[[#This Row],[Cantidad de unidades por bulto]])</f>
        <v>1.125</v>
      </c>
      <c r="G17" s="9">
        <f>Inventario[[#This Row],[Precio]]*Inventario[[#This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IF(Inventario[[#This Row],[Cantidad de unidades por bulto]]=0, 0, Inventario[[#This Row],[Precio por bulto ($)]]/Inventario[[#This Row],[Cantidad de unidades por bulto]])</f>
        <v>0.63461538461538458</v>
      </c>
      <c r="G18" s="9">
        <f>Inventario[[#This Row],[Precio]]*Inventario[[#This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IF(Inventario[[#This Row],[Cantidad de unidades por bulto]]=0, 0, Inventario[[#This Row],[Precio por bulto ($)]]/Inventario[[#This Row],[Cantidad de unidades por bulto]])</f>
        <v>0.10416666666666667</v>
      </c>
      <c r="G19" s="9">
        <f>Inventario[[#This Row],[Precio]]*Inventario[[#This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IF(Inventario[[#This Row],[Cantidad de unidades por bulto]]=0, 0, Inventario[[#This Row],[Precio por bulto ($)]]/Inventario[[#This Row],[Cantidad de unidades por bulto]])</f>
        <v>2.6</v>
      </c>
      <c r="G20" s="9">
        <f>Inventario[[#This Row],[Precio]]*Inventario[[#This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IF(Inventario[[#This Row],[Cantidad de unidades por bulto]]=0, 0, Inventario[[#This Row],[Precio por bulto ($)]]/Inventario[[#This Row],[Cantidad de unidades por bulto]])</f>
        <v>0.9</v>
      </c>
      <c r="G21" s="9">
        <f>Inventario[[#This Row],[Precio]]*Inventario[[#This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IF(Inventario[[#This Row],[Cantidad de unidades por bulto]]=0, 0, Inventario[[#This Row],[Precio por bulto ($)]]/Inventario[[#This Row],[Cantidad de unidades por bulto]])</f>
        <v>45</v>
      </c>
      <c r="G22" s="9">
        <f>Inventario[[#This Row],[Precio]]*Inventario[[#This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IF(Inventario[[#This Row],[Cantidad de unidades por bulto]]=0, 0, Inventario[[#This Row],[Precio por bulto ($)]]/Inventario[[#This Row],[Cantidad de unidades por bulto]])</f>
        <v>1.6</v>
      </c>
      <c r="G23" s="9">
        <f>Inventario[[#This Row],[Precio]]*Inventario[[#This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IF(Inventario[[#This Row],[Cantidad de unidades por bulto]]=0, 0, Inventario[[#This Row],[Precio por bulto ($)]]/Inventario[[#This Row],[Cantidad de unidades por bulto]])</f>
        <v>0.22</v>
      </c>
      <c r="G24" s="9">
        <f>Inventario[[#This Row],[Precio]]*Inventario[[#This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IF(Inventario[[#This Row],[Cantidad de unidades por bulto]]=0, 0, Inventario[[#This Row],[Precio por bulto ($)]]/Inventario[[#This Row],[Cantidad de unidades por bulto]])</f>
        <v>0.35166666666666663</v>
      </c>
      <c r="G25" s="9">
        <f>Inventario[[#This Row],[Precio]]*Inventario[[#This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IF(Inventario[[#This Row],[Cantidad de unidades por bulto]]=0, 0, Inventario[[#This Row],[Precio por bulto ($)]]/Inventario[[#This Row],[Cantidad de unidades por bulto]])</f>
        <v>1.8</v>
      </c>
      <c r="G26" s="9">
        <f>Inventario[[#This Row],[Precio]]*Inventario[[#This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IF(Inventario[[#This Row],[Cantidad de unidades por bulto]]=0, 0, Inventario[[#This Row],[Precio por bulto ($)]]/Inventario[[#This Row],[Cantidad de unidades por bulto]])</f>
        <v>3.625</v>
      </c>
      <c r="G27" s="9">
        <f>Inventario[[#This Row],[Precio]]*Inventario[[#This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IF(Inventario[[#This Row],[Cantidad de unidades por bulto]]=0, 0, Inventario[[#This Row],[Precio por bulto ($)]]/Inventario[[#This Row],[Cantidad de unidades por bulto]])</f>
        <v>0.52083333333333337</v>
      </c>
      <c r="G28" s="9">
        <f>Inventario[[#This Row],[Precio]]*Inventario[[#This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IF(Inventario[[#This Row],[Cantidad de unidades por bulto]]=0, 0, Inventario[[#This Row],[Precio por bulto ($)]]/Inventario[[#This Row],[Cantidad de unidades por bulto]])</f>
        <v>29</v>
      </c>
      <c r="G29" s="9">
        <f>Inventario[[#This Row],[Precio]]*Inventario[[#This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IF(Inventario[[#This Row],[Cantidad de unidades por bulto]]=0, 0, Inventario[[#This Row],[Precio por bulto ($)]]/Inventario[[#This Row],[Cantidad de unidades por bulto]])</f>
        <v>0.52083333333333337</v>
      </c>
      <c r="G30" s="9">
        <f>Inventario[[#This Row],[Precio]]*Inventario[[#This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IF(Inventario[[#This Row],[Cantidad de unidades por bulto]]=0, 0, Inventario[[#This Row],[Precio por bulto ($)]]/Inventario[[#This Row],[Cantidad de unidades por bulto]])</f>
        <v>0.375</v>
      </c>
      <c r="G31" s="9">
        <f>Inventario[[#This Row],[Precio]]*Inventario[[#This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IF(Inventario[[#This Row],[Cantidad de unidades por bulto]]=0, 0, Inventario[[#This Row],[Precio por bulto ($)]]/Inventario[[#This Row],[Cantidad de unidades por bulto]])</f>
        <v>7.05</v>
      </c>
      <c r="G32" s="9">
        <f>Inventario[[#This Row],[Precio]]*Inventario[[#This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IF(Inventario[[#This Row],[Cantidad de unidades por bulto]]=0, 0, Inventario[[#This Row],[Precio por bulto ($)]]/Inventario[[#This Row],[Cantidad de unidades por bulto]])</f>
        <v>7.05</v>
      </c>
      <c r="G33" s="9">
        <f>Inventario[[#This Row],[Precio]]*Inventario[[#This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IF(Inventario[[#This Row],[Cantidad de unidades por bulto]]=0, 0, Inventario[[#This Row],[Precio por bulto ($)]]/Inventario[[#This Row],[Cantidad de unidades por bulto]])</f>
        <v>7.05</v>
      </c>
      <c r="G34" s="9">
        <f>Inventario[[#This Row],[Precio]]*Inventario[[#This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IF(Inventario[[#This Row],[Cantidad de unidades por bulto]]=0, 0, Inventario[[#This Row],[Precio por bulto ($)]]/Inventario[[#This Row],[Cantidad de unidades por bulto]])</f>
        <v>1.95</v>
      </c>
      <c r="G35" s="9">
        <f>Inventario[[#This Row],[Precio]]*Inventario[[#This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IF(Inventario[[#This Row],[Cantidad de unidades por bulto]]=0, 0, Inventario[[#This Row],[Precio por bulto ($)]]/Inventario[[#This Row],[Cantidad de unidades por bulto]])</f>
        <v>0.3</v>
      </c>
      <c r="G36" s="9">
        <f>Inventario[[#This Row],[Precio]]*Inventario[[#This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IF(Inventario[[#This Row],[Cantidad de unidades por bulto]]=0, 0, Inventario[[#This Row],[Precio por bulto ($)]]/Inventario[[#This Row],[Cantidad de unidades por bulto]])</f>
        <v>13.5</v>
      </c>
      <c r="G37" s="9">
        <f>Inventario[[#This Row],[Precio]]*Inventario[[#This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IF(Inventario[[#This Row],[Cantidad de unidades por bulto]]=0, 0, Inventario[[#This Row],[Precio por bulto ($)]]/Inventario[[#This Row],[Cantidad de unidades por bulto]])</f>
        <v>11</v>
      </c>
      <c r="G38" s="9">
        <f>Inventario[[#This Row],[Precio]]*Inventario[[#This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IF(Inventario[[#This Row],[Cantidad de unidades por bulto]]=0, 0, Inventario[[#This Row],[Precio por bulto ($)]]/Inventario[[#This Row],[Cantidad de unidades por bulto]])</f>
        <v>0.5625</v>
      </c>
      <c r="G39" s="9">
        <f>Inventario[[#This Row],[Precio]]*Inventario[[#This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IF(Inventario[[#This Row],[Cantidad de unidades por bulto]]=0, 0, Inventario[[#This Row],[Precio por bulto ($)]]/Inventario[[#This Row],[Cantidad de unidades por bulto]])</f>
        <v>2</v>
      </c>
      <c r="G40" s="9">
        <f>Inventario[[#This Row],[Precio]]*Inventario[[#This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38D89-1EDF-4E35-BCCE-F20F2412C7B1}">
  <sheetPr codeName="Hoja32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SUM(Inventario32[Importe])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IF(Inventario32[[#This Row],[Cantidad de unidades por bulto]]=0, 0, Inventario32[[#This Row],[Precio por bulto ($)]]/Inventario32[[#This Row],[Cantidad de unidades por bulto]])</f>
        <v>1.25</v>
      </c>
      <c r="G2" s="9">
        <f>Inventario32[[#This Row],[Precio]]*Inventario32[[#This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IF(Inventario32[[#This Row],[Cantidad de unidades por bulto]]=0, 0, Inventario32[[#This Row],[Precio por bulto ($)]]/Inventario32[[#This Row],[Cantidad de unidades por bulto]])</f>
        <v>1.2250000000000001</v>
      </c>
      <c r="G3" s="9">
        <f>Inventario32[[#This Row],[Precio]]*Inventario32[[#This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IF(Inventario32[[#This Row],[Cantidad de unidades por bulto]]=0, 0, Inventario32[[#This Row],[Precio por bulto ($)]]/Inventario32[[#This Row],[Cantidad de unidades por bulto]])</f>
        <v>0.81</v>
      </c>
      <c r="G4" s="9">
        <f>Inventario32[[#This Row],[Precio]]*Inventario32[[#This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IF(Inventario32[[#This Row],[Cantidad de unidades por bulto]]=0, 0, Inventario32[[#This Row],[Precio por bulto ($)]]/Inventario32[[#This Row],[Cantidad de unidades por bulto]])</f>
        <v>0.8</v>
      </c>
      <c r="G5" s="9">
        <f>Inventario32[[#This Row],[Precio]]*Inventario32[[#This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IF(Inventario32[[#This Row],[Cantidad de unidades por bulto]]=0, 0, Inventario32[[#This Row],[Precio por bulto ($)]]/Inventario32[[#This Row],[Cantidad de unidades por bulto]])</f>
        <v>0.81</v>
      </c>
      <c r="G6" s="9">
        <f>Inventario32[[#This Row],[Precio]]*Inventario32[[#This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IF(Inventario32[[#This Row],[Cantidad de unidades por bulto]]=0, 0, Inventario32[[#This Row],[Precio por bulto ($)]]/Inventario32[[#This Row],[Cantidad de unidades por bulto]])</f>
        <v>0.8773333333333333</v>
      </c>
      <c r="G7" s="9">
        <f>Inventario32[[#This Row],[Precio]]*Inventario32[[#This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IF(Inventario32[[#This Row],[Cantidad de unidades por bulto]]=0, 0, Inventario32[[#This Row],[Precio por bulto ($)]]/Inventario32[[#This Row],[Cantidad de unidades por bulto]])</f>
        <v>0.75</v>
      </c>
      <c r="G8" s="9">
        <f>Inventario32[[#This Row],[Precio]]*Inventario32[[#This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IF(Inventario32[[#This Row],[Cantidad de unidades por bulto]]=0, 0, Inventario32[[#This Row],[Precio por bulto ($)]]/Inventario32[[#This Row],[Cantidad de unidades por bulto]])</f>
        <v>0.75</v>
      </c>
      <c r="G9" s="9">
        <f>Inventario32[[#This Row],[Precio]]*Inventario32[[#This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IF(Inventario32[[#This Row],[Cantidad de unidades por bulto]]=0, 0, Inventario32[[#This Row],[Precio por bulto ($)]]/Inventario32[[#This Row],[Cantidad de unidades por bulto]])</f>
        <v>1.25</v>
      </c>
      <c r="G10" s="9">
        <f>Inventario32[[#This Row],[Precio]]*Inventario32[[#This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IF(Inventario32[[#This Row],[Cantidad de unidades por bulto]]=0, 0, Inventario32[[#This Row],[Precio por bulto ($)]]/Inventario32[[#This Row],[Cantidad de unidades por bulto]])</f>
        <v>11</v>
      </c>
      <c r="G11" s="9">
        <f>Inventario32[[#This Row],[Precio]]*Inventario32[[#This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IF(Inventario32[[#This Row],[Cantidad de unidades por bulto]]=0, 0, Inventario32[[#This Row],[Precio por bulto ($)]]/Inventario32[[#This Row],[Cantidad de unidades por bulto]])</f>
        <v>11</v>
      </c>
      <c r="G12" s="9">
        <f>Inventario32[[#This Row],[Precio]]*Inventario32[[#This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IF(Inventario32[[#This Row],[Cantidad de unidades por bulto]]=0, 0, Inventario32[[#This Row],[Precio por bulto ($)]]/Inventario32[[#This Row],[Cantidad de unidades por bulto]])</f>
        <v>1.25</v>
      </c>
      <c r="G13" s="9">
        <f>Inventario32[[#This Row],[Precio]]*Inventario32[[#This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IF(Inventario32[[#This Row],[Cantidad de unidades por bulto]]=0, 0, Inventario32[[#This Row],[Precio por bulto ($)]]/Inventario32[[#This Row],[Cantidad de unidades por bulto]])</f>
        <v>1.125</v>
      </c>
      <c r="G14" s="9">
        <f>Inventario32[[#This Row],[Precio]]*Inventario32[[#This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IF(Inventario32[[#This Row],[Cantidad de unidades por bulto]]=0, 0, Inventario32[[#This Row],[Precio por bulto ($)]]/Inventario32[[#This Row],[Cantidad de unidades por bulto]])</f>
        <v>0.69916666666666671</v>
      </c>
      <c r="G15" s="9">
        <f>Inventario32[[#This Row],[Precio]]*Inventario32[[#This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IF(Inventario32[[#This Row],[Cantidad de unidades por bulto]]=0, 0, Inventario32[[#This Row],[Precio por bulto ($)]]/Inventario32[[#This Row],[Cantidad de unidades por bulto]])</f>
        <v>1.125</v>
      </c>
      <c r="G16" s="9">
        <f>Inventario32[[#This Row],[Precio]]*Inventario32[[#This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IF(Inventario32[[#This Row],[Cantidad de unidades por bulto]]=0, 0, Inventario32[[#This Row],[Precio por bulto ($)]]/Inventario32[[#This Row],[Cantidad de unidades por bulto]])</f>
        <v>1.125</v>
      </c>
      <c r="G17" s="9">
        <f>Inventario32[[#This Row],[Precio]]*Inventario32[[#This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IF(Inventario32[[#This Row],[Cantidad de unidades por bulto]]=0, 0, Inventario32[[#This Row],[Precio por bulto ($)]]/Inventario32[[#This Row],[Cantidad de unidades por bulto]])</f>
        <v>0.63461538461538458</v>
      </c>
      <c r="G18" s="9">
        <f>Inventario32[[#This Row],[Precio]]*Inventario32[[#This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IF(Inventario32[[#This Row],[Cantidad de unidades por bulto]]=0, 0, Inventario32[[#This Row],[Precio por bulto ($)]]/Inventario32[[#This Row],[Cantidad de unidades por bulto]])</f>
        <v>0.10416666666666667</v>
      </c>
      <c r="G19" s="9">
        <f>Inventario32[[#This Row],[Precio]]*Inventario32[[#This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IF(Inventario32[[#This Row],[Cantidad de unidades por bulto]]=0, 0, Inventario32[[#This Row],[Precio por bulto ($)]]/Inventario32[[#This Row],[Cantidad de unidades por bulto]])</f>
        <v>2.6</v>
      </c>
      <c r="G20" s="9">
        <f>Inventario32[[#This Row],[Precio]]*Inventario32[[#This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IF(Inventario32[[#This Row],[Cantidad de unidades por bulto]]=0, 0, Inventario32[[#This Row],[Precio por bulto ($)]]/Inventario32[[#This Row],[Cantidad de unidades por bulto]])</f>
        <v>0.9</v>
      </c>
      <c r="G21" s="9">
        <f>Inventario32[[#This Row],[Precio]]*Inventario32[[#This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IF(Inventario32[[#This Row],[Cantidad de unidades por bulto]]=0, 0, Inventario32[[#This Row],[Precio por bulto ($)]]/Inventario32[[#This Row],[Cantidad de unidades por bulto]])</f>
        <v>45</v>
      </c>
      <c r="G22" s="9">
        <f>Inventario32[[#This Row],[Precio]]*Inventario32[[#This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IF(Inventario32[[#This Row],[Cantidad de unidades por bulto]]=0, 0, Inventario32[[#This Row],[Precio por bulto ($)]]/Inventario32[[#This Row],[Cantidad de unidades por bulto]])</f>
        <v>1.6</v>
      </c>
      <c r="G23" s="9">
        <f>Inventario32[[#This Row],[Precio]]*Inventario32[[#This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IF(Inventario32[[#This Row],[Cantidad de unidades por bulto]]=0, 0, Inventario32[[#This Row],[Precio por bulto ($)]]/Inventario32[[#This Row],[Cantidad de unidades por bulto]])</f>
        <v>0.22</v>
      </c>
      <c r="G24" s="9">
        <f>Inventario32[[#This Row],[Precio]]*Inventario32[[#This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IF(Inventario32[[#This Row],[Cantidad de unidades por bulto]]=0, 0, Inventario32[[#This Row],[Precio por bulto ($)]]/Inventario32[[#This Row],[Cantidad de unidades por bulto]])</f>
        <v>0.35166666666666663</v>
      </c>
      <c r="G25" s="9">
        <f>Inventario32[[#This Row],[Precio]]*Inventario32[[#This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IF(Inventario32[[#This Row],[Cantidad de unidades por bulto]]=0, 0, Inventario32[[#This Row],[Precio por bulto ($)]]/Inventario32[[#This Row],[Cantidad de unidades por bulto]])</f>
        <v>1.8</v>
      </c>
      <c r="G26" s="9">
        <f>Inventario32[[#This Row],[Precio]]*Inventario32[[#This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IF(Inventario32[[#This Row],[Cantidad de unidades por bulto]]=0, 0, Inventario32[[#This Row],[Precio por bulto ($)]]/Inventario32[[#This Row],[Cantidad de unidades por bulto]])</f>
        <v>3.625</v>
      </c>
      <c r="G27" s="9">
        <f>Inventario32[[#This Row],[Precio]]*Inventario32[[#This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IF(Inventario32[[#This Row],[Cantidad de unidades por bulto]]=0, 0, Inventario32[[#This Row],[Precio por bulto ($)]]/Inventario32[[#This Row],[Cantidad de unidades por bulto]])</f>
        <v>0.52083333333333337</v>
      </c>
      <c r="G28" s="9">
        <f>Inventario32[[#This Row],[Precio]]*Inventario32[[#This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IF(Inventario32[[#This Row],[Cantidad de unidades por bulto]]=0, 0, Inventario32[[#This Row],[Precio por bulto ($)]]/Inventario32[[#This Row],[Cantidad de unidades por bulto]])</f>
        <v>29</v>
      </c>
      <c r="G29" s="9">
        <f>Inventario32[[#This Row],[Precio]]*Inventario32[[#This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IF(Inventario32[[#This Row],[Cantidad de unidades por bulto]]=0, 0, Inventario32[[#This Row],[Precio por bulto ($)]]/Inventario32[[#This Row],[Cantidad de unidades por bulto]])</f>
        <v>0.52083333333333337</v>
      </c>
      <c r="G30" s="9">
        <f>Inventario32[[#This Row],[Precio]]*Inventario32[[#This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IF(Inventario32[[#This Row],[Cantidad de unidades por bulto]]=0, 0, Inventario32[[#This Row],[Precio por bulto ($)]]/Inventario32[[#This Row],[Cantidad de unidades por bulto]])</f>
        <v>0.375</v>
      </c>
      <c r="G31" s="9">
        <f>Inventario32[[#This Row],[Precio]]*Inventario32[[#This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IF(Inventario32[[#This Row],[Cantidad de unidades por bulto]]=0, 0, Inventario32[[#This Row],[Precio por bulto ($)]]/Inventario32[[#This Row],[Cantidad de unidades por bulto]])</f>
        <v>7.05</v>
      </c>
      <c r="G32" s="9">
        <f>Inventario32[[#This Row],[Precio]]*Inventario32[[#This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IF(Inventario32[[#This Row],[Cantidad de unidades por bulto]]=0, 0, Inventario32[[#This Row],[Precio por bulto ($)]]/Inventario32[[#This Row],[Cantidad de unidades por bulto]])</f>
        <v>7.05</v>
      </c>
      <c r="G33" s="9">
        <f>Inventario32[[#This Row],[Precio]]*Inventario32[[#This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IF(Inventario32[[#This Row],[Cantidad de unidades por bulto]]=0, 0, Inventario32[[#This Row],[Precio por bulto ($)]]/Inventario32[[#This Row],[Cantidad de unidades por bulto]])</f>
        <v>7.05</v>
      </c>
      <c r="G34" s="9">
        <f>Inventario32[[#This Row],[Precio]]*Inventario32[[#This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IF(Inventario32[[#This Row],[Cantidad de unidades por bulto]]=0, 0, Inventario32[[#This Row],[Precio por bulto ($)]]/Inventario32[[#This Row],[Cantidad de unidades por bulto]])</f>
        <v>1.95</v>
      </c>
      <c r="G35" s="9">
        <f>Inventario32[[#This Row],[Precio]]*Inventario32[[#This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IF(Inventario32[[#This Row],[Cantidad de unidades por bulto]]=0, 0, Inventario32[[#This Row],[Precio por bulto ($)]]/Inventario32[[#This Row],[Cantidad de unidades por bulto]])</f>
        <v>0.3</v>
      </c>
      <c r="G36" s="9">
        <f>Inventario32[[#This Row],[Precio]]*Inventario32[[#This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IF(Inventario32[[#This Row],[Cantidad de unidades por bulto]]=0, 0, Inventario32[[#This Row],[Precio por bulto ($)]]/Inventario32[[#This Row],[Cantidad de unidades por bulto]])</f>
        <v>13.5</v>
      </c>
      <c r="G37" s="9">
        <f>Inventario32[[#This Row],[Precio]]*Inventario32[[#This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IF(Inventario32[[#This Row],[Cantidad de unidades por bulto]]=0, 0, Inventario32[[#This Row],[Precio por bulto ($)]]/Inventario32[[#This Row],[Cantidad de unidades por bulto]])</f>
        <v>11</v>
      </c>
      <c r="G38" s="9">
        <f>Inventario32[[#This Row],[Precio]]*Inventario32[[#This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IF(Inventario32[[#This Row],[Cantidad de unidades por bulto]]=0, 0, Inventario32[[#This Row],[Precio por bulto ($)]]/Inventario32[[#This Row],[Cantidad de unidades por bulto]])</f>
        <v>0.5625</v>
      </c>
      <c r="G39" s="9">
        <f>Inventario32[[#This Row],[Precio]]*Inventario32[[#This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IF(Inventario32[[#This Row],[Cantidad de unidades por bulto]]=0, 0, Inventario32[[#This Row],[Precio por bulto ($)]]/Inventario32[[#This Row],[Cantidad de unidades por bulto]])</f>
        <v>2</v>
      </c>
      <c r="G40" s="9">
        <f>Inventario32[[#This Row],[Precio]]*Inventario32[[#This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768CB-CF77-4150-9E55-D5B1FF04D643}">
  <sheetPr codeName="Hoja31"/>
  <dimension ref="A1:J40"/>
  <sheetViews>
    <sheetView workbookViewId="0">
      <selection activeCell="A2" sqref="A2:G40"/>
    </sheetView>
  </sheetViews>
  <sheetFormatPr defaultColWidth="11.44140625" defaultRowHeight="14.4" x14ac:dyDescent="0.3"/>
  <cols>
    <col min="1" max="1" width="14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SUM(Inventario31[Importe])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IF(Inventario31[[#This Row],[Cantidad de unidades por bulto]]=0, 0, Inventario31[[#This Row],[Precio por bulto ($)]]/Inventario31[[#This Row],[Cantidad de unidades por bulto]])</f>
        <v>1.25</v>
      </c>
      <c r="G2" s="9">
        <f>Inventario31[[#This Row],[Precio]]*Inventario31[[#This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IF(Inventario31[[#This Row],[Cantidad de unidades por bulto]]=0, 0, Inventario31[[#This Row],[Precio por bulto ($)]]/Inventario31[[#This Row],[Cantidad de unidades por bulto]])</f>
        <v>1.2250000000000001</v>
      </c>
      <c r="G3" s="9">
        <f>Inventario31[[#This Row],[Precio]]*Inventario31[[#This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IF(Inventario31[[#This Row],[Cantidad de unidades por bulto]]=0, 0, Inventario31[[#This Row],[Precio por bulto ($)]]/Inventario31[[#This Row],[Cantidad de unidades por bulto]])</f>
        <v>0.81</v>
      </c>
      <c r="G4" s="9">
        <f>Inventario31[[#This Row],[Precio]]*Inventario31[[#This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IF(Inventario31[[#This Row],[Cantidad de unidades por bulto]]=0, 0, Inventario31[[#This Row],[Precio por bulto ($)]]/Inventario31[[#This Row],[Cantidad de unidades por bulto]])</f>
        <v>0.8</v>
      </c>
      <c r="G5" s="9">
        <f>Inventario31[[#This Row],[Precio]]*Inventario31[[#This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IF(Inventario31[[#This Row],[Cantidad de unidades por bulto]]=0, 0, Inventario31[[#This Row],[Precio por bulto ($)]]/Inventario31[[#This Row],[Cantidad de unidades por bulto]])</f>
        <v>0.81</v>
      </c>
      <c r="G6" s="9">
        <f>Inventario31[[#This Row],[Precio]]*Inventario31[[#This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IF(Inventario31[[#This Row],[Cantidad de unidades por bulto]]=0, 0, Inventario31[[#This Row],[Precio por bulto ($)]]/Inventario31[[#This Row],[Cantidad de unidades por bulto]])</f>
        <v>0.8773333333333333</v>
      </c>
      <c r="G7" s="9">
        <f>Inventario31[[#This Row],[Precio]]*Inventario31[[#This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IF(Inventario31[[#This Row],[Cantidad de unidades por bulto]]=0, 0, Inventario31[[#This Row],[Precio por bulto ($)]]/Inventario31[[#This Row],[Cantidad de unidades por bulto]])</f>
        <v>0.75</v>
      </c>
      <c r="G8" s="9">
        <f>Inventario31[[#This Row],[Precio]]*Inventario31[[#This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IF(Inventario31[[#This Row],[Cantidad de unidades por bulto]]=0, 0, Inventario31[[#This Row],[Precio por bulto ($)]]/Inventario31[[#This Row],[Cantidad de unidades por bulto]])</f>
        <v>0.75</v>
      </c>
      <c r="G9" s="9">
        <f>Inventario31[[#This Row],[Precio]]*Inventario31[[#This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IF(Inventario31[[#This Row],[Cantidad de unidades por bulto]]=0, 0, Inventario31[[#This Row],[Precio por bulto ($)]]/Inventario31[[#This Row],[Cantidad de unidades por bulto]])</f>
        <v>1.25</v>
      </c>
      <c r="G10" s="9">
        <f>Inventario31[[#This Row],[Precio]]*Inventario31[[#This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IF(Inventario31[[#This Row],[Cantidad de unidades por bulto]]=0, 0, Inventario31[[#This Row],[Precio por bulto ($)]]/Inventario31[[#This Row],[Cantidad de unidades por bulto]])</f>
        <v>11</v>
      </c>
      <c r="G11" s="9">
        <f>Inventario31[[#This Row],[Precio]]*Inventario31[[#This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IF(Inventario31[[#This Row],[Cantidad de unidades por bulto]]=0, 0, Inventario31[[#This Row],[Precio por bulto ($)]]/Inventario31[[#This Row],[Cantidad de unidades por bulto]])</f>
        <v>11</v>
      </c>
      <c r="G12" s="9">
        <f>Inventario31[[#This Row],[Precio]]*Inventario31[[#This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IF(Inventario31[[#This Row],[Cantidad de unidades por bulto]]=0, 0, Inventario31[[#This Row],[Precio por bulto ($)]]/Inventario31[[#This Row],[Cantidad de unidades por bulto]])</f>
        <v>1.25</v>
      </c>
      <c r="G13" s="9">
        <f>Inventario31[[#This Row],[Precio]]*Inventario31[[#This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IF(Inventario31[[#This Row],[Cantidad de unidades por bulto]]=0, 0, Inventario31[[#This Row],[Precio por bulto ($)]]/Inventario31[[#This Row],[Cantidad de unidades por bulto]])</f>
        <v>1.125</v>
      </c>
      <c r="G14" s="9">
        <f>Inventario31[[#This Row],[Precio]]*Inventario31[[#This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IF(Inventario31[[#This Row],[Cantidad de unidades por bulto]]=0, 0, Inventario31[[#This Row],[Precio por bulto ($)]]/Inventario31[[#This Row],[Cantidad de unidades por bulto]])</f>
        <v>0.69916666666666671</v>
      </c>
      <c r="G15" s="9">
        <f>Inventario31[[#This Row],[Precio]]*Inventario31[[#This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IF(Inventario31[[#This Row],[Cantidad de unidades por bulto]]=0, 0, Inventario31[[#This Row],[Precio por bulto ($)]]/Inventario31[[#This Row],[Cantidad de unidades por bulto]])</f>
        <v>1.125</v>
      </c>
      <c r="G16" s="9">
        <f>Inventario31[[#This Row],[Precio]]*Inventario31[[#This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IF(Inventario31[[#This Row],[Cantidad de unidades por bulto]]=0, 0, Inventario31[[#This Row],[Precio por bulto ($)]]/Inventario31[[#This Row],[Cantidad de unidades por bulto]])</f>
        <v>1.125</v>
      </c>
      <c r="G17" s="9">
        <f>Inventario31[[#This Row],[Precio]]*Inventario31[[#This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IF(Inventario31[[#This Row],[Cantidad de unidades por bulto]]=0, 0, Inventario31[[#This Row],[Precio por bulto ($)]]/Inventario31[[#This Row],[Cantidad de unidades por bulto]])</f>
        <v>0.63461538461538458</v>
      </c>
      <c r="G18" s="9">
        <f>Inventario31[[#This Row],[Precio]]*Inventario31[[#This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IF(Inventario31[[#This Row],[Cantidad de unidades por bulto]]=0, 0, Inventario31[[#This Row],[Precio por bulto ($)]]/Inventario31[[#This Row],[Cantidad de unidades por bulto]])</f>
        <v>0.10416666666666667</v>
      </c>
      <c r="G19" s="9">
        <f>Inventario31[[#This Row],[Precio]]*Inventario31[[#This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IF(Inventario31[[#This Row],[Cantidad de unidades por bulto]]=0, 0, Inventario31[[#This Row],[Precio por bulto ($)]]/Inventario31[[#This Row],[Cantidad de unidades por bulto]])</f>
        <v>2.6</v>
      </c>
      <c r="G20" s="9">
        <f>Inventario31[[#This Row],[Precio]]*Inventario31[[#This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IF(Inventario31[[#This Row],[Cantidad de unidades por bulto]]=0, 0, Inventario31[[#This Row],[Precio por bulto ($)]]/Inventario31[[#This Row],[Cantidad de unidades por bulto]])</f>
        <v>0.9</v>
      </c>
      <c r="G21" s="9">
        <f>Inventario31[[#This Row],[Precio]]*Inventario31[[#This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IF(Inventario31[[#This Row],[Cantidad de unidades por bulto]]=0, 0, Inventario31[[#This Row],[Precio por bulto ($)]]/Inventario31[[#This Row],[Cantidad de unidades por bulto]])</f>
        <v>45</v>
      </c>
      <c r="G22" s="9">
        <f>Inventario31[[#This Row],[Precio]]*Inventario31[[#This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IF(Inventario31[[#This Row],[Cantidad de unidades por bulto]]=0, 0, Inventario31[[#This Row],[Precio por bulto ($)]]/Inventario31[[#This Row],[Cantidad de unidades por bulto]])</f>
        <v>1.6</v>
      </c>
      <c r="G23" s="9">
        <f>Inventario31[[#This Row],[Precio]]*Inventario31[[#This Row],[Existencia]]</f>
        <v>0</v>
      </c>
    </row>
    <row r="24" spans="1:7" x14ac:dyDescent="0.3">
      <c r="A24" s="1">
        <v>29</v>
      </c>
      <c r="B24" s="2" t="s">
        <v>37</v>
      </c>
      <c r="C24" s="12">
        <v>0</v>
      </c>
      <c r="D24" s="13">
        <v>50</v>
      </c>
      <c r="E24" s="14">
        <v>11</v>
      </c>
      <c r="F24" s="6">
        <f>IF(Inventario31[[#This Row],[Cantidad de unidades por bulto]]=0, 0, Inventario31[[#This Row],[Precio por bulto ($)]]/Inventario31[[#This Row],[Cantidad de unidades por bulto]])</f>
        <v>0.22</v>
      </c>
      <c r="G24" s="9">
        <f>Inventario31[[#This Row],[Precio]]*Inventario31[[#This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IF(Inventario31[[#This Row],[Cantidad de unidades por bulto]]=0, 0, Inventario31[[#This Row],[Precio por bulto ($)]]/Inventario31[[#This Row],[Cantidad de unidades por bulto]])</f>
        <v>0.35166666666666663</v>
      </c>
      <c r="G25" s="9">
        <f>Inventario31[[#This Row],[Precio]]*Inventario31[[#This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IF(Inventario31[[#This Row],[Cantidad de unidades por bulto]]=0, 0, Inventario31[[#This Row],[Precio por bulto ($)]]/Inventario31[[#This Row],[Cantidad de unidades por bulto]])</f>
        <v>1.8</v>
      </c>
      <c r="G26" s="9">
        <f>Inventario31[[#This Row],[Precio]]*Inventario31[[#This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IF(Inventario31[[#This Row],[Cantidad de unidades por bulto]]=0, 0, Inventario31[[#This Row],[Precio por bulto ($)]]/Inventario31[[#This Row],[Cantidad de unidades por bulto]])</f>
        <v>3.625</v>
      </c>
      <c r="G27" s="9">
        <f>Inventario31[[#This Row],[Precio]]*Inventario31[[#This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IF(Inventario31[[#This Row],[Cantidad de unidades por bulto]]=0, 0, Inventario31[[#This Row],[Precio por bulto ($)]]/Inventario31[[#This Row],[Cantidad de unidades por bulto]])</f>
        <v>0.52083333333333337</v>
      </c>
      <c r="G28" s="9">
        <f>Inventario31[[#This Row],[Precio]]*Inventario31[[#This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IF(Inventario31[[#This Row],[Cantidad de unidades por bulto]]=0, 0, Inventario31[[#This Row],[Precio por bulto ($)]]/Inventario31[[#This Row],[Cantidad de unidades por bulto]])</f>
        <v>29</v>
      </c>
      <c r="G29" s="9">
        <f>Inventario31[[#This Row],[Precio]]*Inventario31[[#This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IF(Inventario31[[#This Row],[Cantidad de unidades por bulto]]=0, 0, Inventario31[[#This Row],[Precio por bulto ($)]]/Inventario31[[#This Row],[Cantidad de unidades por bulto]])</f>
        <v>0.52083333333333337</v>
      </c>
      <c r="G30" s="9">
        <f>Inventario31[[#This Row],[Precio]]*Inventario31[[#This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IF(Inventario31[[#This Row],[Cantidad de unidades por bulto]]=0, 0, Inventario31[[#This Row],[Precio por bulto ($)]]/Inventario31[[#This Row],[Cantidad de unidades por bulto]])</f>
        <v>0.375</v>
      </c>
      <c r="G31" s="9">
        <f>Inventario31[[#This Row],[Precio]]*Inventario31[[#This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IF(Inventario31[[#This Row],[Cantidad de unidades por bulto]]=0, 0, Inventario31[[#This Row],[Precio por bulto ($)]]/Inventario31[[#This Row],[Cantidad de unidades por bulto]])</f>
        <v>7.05</v>
      </c>
      <c r="G32" s="9">
        <f>Inventario31[[#This Row],[Precio]]*Inventario31[[#This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IF(Inventario31[[#This Row],[Cantidad de unidades por bulto]]=0, 0, Inventario31[[#This Row],[Precio por bulto ($)]]/Inventario31[[#This Row],[Cantidad de unidades por bulto]])</f>
        <v>7.05</v>
      </c>
      <c r="G33" s="9">
        <f>Inventario31[[#This Row],[Precio]]*Inventario31[[#This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IF(Inventario31[[#This Row],[Cantidad de unidades por bulto]]=0, 0, Inventario31[[#This Row],[Precio por bulto ($)]]/Inventario31[[#This Row],[Cantidad de unidades por bulto]])</f>
        <v>7.05</v>
      </c>
      <c r="G34" s="9">
        <f>Inventario31[[#This Row],[Precio]]*Inventario31[[#This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IF(Inventario31[[#This Row],[Cantidad de unidades por bulto]]=0, 0, Inventario31[[#This Row],[Precio por bulto ($)]]/Inventario31[[#This Row],[Cantidad de unidades por bulto]])</f>
        <v>1.95</v>
      </c>
      <c r="G35" s="9">
        <f>Inventario31[[#This Row],[Precio]]*Inventario31[[#This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IF(Inventario31[[#This Row],[Cantidad de unidades por bulto]]=0, 0, Inventario31[[#This Row],[Precio por bulto ($)]]/Inventario31[[#This Row],[Cantidad de unidades por bulto]])</f>
        <v>0.3</v>
      </c>
      <c r="G36" s="9">
        <f>Inventario31[[#This Row],[Precio]]*Inventario31[[#This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IF(Inventario31[[#This Row],[Cantidad de unidades por bulto]]=0, 0, Inventario31[[#This Row],[Precio por bulto ($)]]/Inventario31[[#This Row],[Cantidad de unidades por bulto]])</f>
        <v>13.5</v>
      </c>
      <c r="G37" s="9">
        <f>Inventario31[[#This Row],[Precio]]*Inventario31[[#This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IF(Inventario31[[#This Row],[Cantidad de unidades por bulto]]=0, 0, Inventario31[[#This Row],[Precio por bulto ($)]]/Inventario31[[#This Row],[Cantidad de unidades por bulto]])</f>
        <v>11</v>
      </c>
      <c r="G38" s="9">
        <f>Inventario31[[#This Row],[Precio]]*Inventario31[[#This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IF(Inventario31[[#This Row],[Cantidad de unidades por bulto]]=0, 0, Inventario31[[#This Row],[Precio por bulto ($)]]/Inventario31[[#This Row],[Cantidad de unidades por bulto]])</f>
        <v>0.5625</v>
      </c>
      <c r="G39" s="9">
        <f>Inventario31[[#This Row],[Precio]]*Inventario31[[#This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IF(Inventario31[[#This Row],[Cantidad de unidades por bulto]]=0, 0, Inventario31[[#This Row],[Precio por bulto ($)]]/Inventario31[[#This Row],[Cantidad de unidades por bulto]])</f>
        <v>2</v>
      </c>
      <c r="G40" s="9">
        <f>Inventario31[[#This Row],[Precio]]*Inventario31[[#This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0694B-1EA4-4C2D-B1C8-D7CB079AC408}">
  <sheetPr codeName="Hoja30"/>
  <dimension ref="A1:J40"/>
  <sheetViews>
    <sheetView workbookViewId="0">
      <selection activeCell="E20" sqref="E20"/>
    </sheetView>
  </sheetViews>
  <sheetFormatPr defaultColWidth="11.44140625" defaultRowHeight="14.4" x14ac:dyDescent="0.3"/>
  <cols>
    <col min="1" max="1" width="16.6640625" style="3" bestFit="1" customWidth="1"/>
    <col min="2" max="2" width="40" style="3" bestFit="1" customWidth="1"/>
    <col min="3" max="3" width="9.88671875" style="3" bestFit="1" customWidth="1"/>
    <col min="4" max="4" width="29.109375" style="3" bestFit="1" customWidth="1"/>
    <col min="5" max="5" width="18.109375" style="3" bestFit="1" customWidth="1"/>
    <col min="6" max="6" width="8.6640625" style="3" bestFit="1" customWidth="1"/>
    <col min="7" max="7" width="22.44140625" style="3" customWidth="1"/>
    <col min="8" max="8" width="18.109375" style="3" bestFit="1" customWidth="1"/>
    <col min="9" max="9" width="16.44140625" style="3" customWidth="1"/>
    <col min="10" max="16384" width="11.44140625" style="3"/>
  </cols>
  <sheetData>
    <row r="1" spans="1:10" x14ac:dyDescent="0.3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1</v>
      </c>
      <c r="G1" s="1" t="s">
        <v>7</v>
      </c>
      <c r="I1" s="7" t="s">
        <v>8</v>
      </c>
      <c r="J1" s="8">
        <f>SUM(Inventario30[Importe])</f>
        <v>0</v>
      </c>
    </row>
    <row r="2" spans="1:10" x14ac:dyDescent="0.3">
      <c r="A2" s="1">
        <v>1</v>
      </c>
      <c r="B2" s="2" t="s">
        <v>6</v>
      </c>
      <c r="C2" s="11">
        <v>0</v>
      </c>
      <c r="D2" s="4">
        <v>20</v>
      </c>
      <c r="E2" s="5">
        <v>25</v>
      </c>
      <c r="F2" s="6">
        <f>IF(Inventario30[[#This Row],[Cantidad de unidades por bulto]]=0, 0, Inventario30[[#This Row],[Precio por bulto ($)]]/Inventario30[[#This Row],[Cantidad de unidades por bulto]])</f>
        <v>1.25</v>
      </c>
      <c r="G2" s="9">
        <f>Inventario30[[#This Row],[Precio]]*Inventario30[[#This Row],[Existencia]]</f>
        <v>0</v>
      </c>
      <c r="I2" s="1"/>
      <c r="J2" s="9"/>
    </row>
    <row r="3" spans="1:10" x14ac:dyDescent="0.3">
      <c r="A3" s="15">
        <v>7891107101621</v>
      </c>
      <c r="B3" s="2" t="s">
        <v>38</v>
      </c>
      <c r="C3" s="16">
        <v>0</v>
      </c>
      <c r="D3" s="17">
        <v>20</v>
      </c>
      <c r="E3" s="14">
        <v>24.5</v>
      </c>
      <c r="F3" s="6">
        <f>IF(Inventario30[[#This Row],[Cantidad de unidades por bulto]]=0, 0, Inventario30[[#This Row],[Precio por bulto ($)]]/Inventario30[[#This Row],[Cantidad de unidades por bulto]])</f>
        <v>1.2250000000000001</v>
      </c>
      <c r="G3" s="9">
        <f>Inventario30[[#This Row],[Precio]]*Inventario30[[#This Row],[Existencia]]</f>
        <v>0</v>
      </c>
      <c r="I3" s="1"/>
      <c r="J3" s="9"/>
    </row>
    <row r="4" spans="1:10" x14ac:dyDescent="0.3">
      <c r="A4" s="1">
        <v>2</v>
      </c>
      <c r="B4" s="2" t="s">
        <v>9</v>
      </c>
      <c r="C4" s="11">
        <v>0</v>
      </c>
      <c r="D4" s="4">
        <v>30</v>
      </c>
      <c r="E4" s="5">
        <v>24.3</v>
      </c>
      <c r="F4" s="6">
        <f>IF(Inventario30[[#This Row],[Cantidad de unidades por bulto]]=0, 0, Inventario30[[#This Row],[Precio por bulto ($)]]/Inventario30[[#This Row],[Cantidad de unidades por bulto]])</f>
        <v>0.81</v>
      </c>
      <c r="G4" s="9">
        <f>Inventario30[[#This Row],[Precio]]*Inventario30[[#This Row],[Existencia]]</f>
        <v>0</v>
      </c>
      <c r="I4" s="1"/>
      <c r="J4" s="9"/>
    </row>
    <row r="5" spans="1:10" x14ac:dyDescent="0.3">
      <c r="A5" s="1">
        <v>3</v>
      </c>
      <c r="B5" s="2" t="s">
        <v>10</v>
      </c>
      <c r="C5" s="11">
        <v>0</v>
      </c>
      <c r="D5" s="4">
        <v>30</v>
      </c>
      <c r="E5" s="5">
        <v>24</v>
      </c>
      <c r="F5" s="6">
        <f>IF(Inventario30[[#This Row],[Cantidad de unidades por bulto]]=0, 0, Inventario30[[#This Row],[Precio por bulto ($)]]/Inventario30[[#This Row],[Cantidad de unidades por bulto]])</f>
        <v>0.8</v>
      </c>
      <c r="G5" s="9">
        <f>Inventario30[[#This Row],[Precio]]*Inventario30[[#This Row],[Existencia]]</f>
        <v>0</v>
      </c>
      <c r="I5" s="1"/>
      <c r="J5" s="9"/>
    </row>
    <row r="6" spans="1:10" x14ac:dyDescent="0.3">
      <c r="A6" s="1">
        <v>4</v>
      </c>
      <c r="B6" s="10" t="s">
        <v>11</v>
      </c>
      <c r="C6" s="11">
        <v>0</v>
      </c>
      <c r="D6" s="4">
        <v>30</v>
      </c>
      <c r="E6" s="5">
        <v>24.3</v>
      </c>
      <c r="F6" s="6">
        <f>IF(Inventario30[[#This Row],[Cantidad de unidades por bulto]]=0, 0, Inventario30[[#This Row],[Precio por bulto ($)]]/Inventario30[[#This Row],[Cantidad de unidades por bulto]])</f>
        <v>0.81</v>
      </c>
      <c r="G6" s="9">
        <f>Inventario30[[#This Row],[Precio]]*Inventario30[[#This Row],[Existencia]]</f>
        <v>0</v>
      </c>
      <c r="I6" s="1"/>
      <c r="J6" s="9"/>
    </row>
    <row r="7" spans="1:10" x14ac:dyDescent="0.3">
      <c r="A7" s="1">
        <v>5</v>
      </c>
      <c r="B7" s="10" t="s">
        <v>12</v>
      </c>
      <c r="C7" s="11">
        <v>0</v>
      </c>
      <c r="D7" s="4">
        <v>30</v>
      </c>
      <c r="E7" s="5">
        <v>26.32</v>
      </c>
      <c r="F7" s="6">
        <f>IF(Inventario30[[#This Row],[Cantidad de unidades por bulto]]=0, 0, Inventario30[[#This Row],[Precio por bulto ($)]]/Inventario30[[#This Row],[Cantidad de unidades por bulto]])</f>
        <v>0.8773333333333333</v>
      </c>
      <c r="G7" s="9">
        <f>Inventario30[[#This Row],[Precio]]*Inventario30[[#This Row],[Existencia]]</f>
        <v>0</v>
      </c>
      <c r="I7" s="1"/>
      <c r="J7" s="9"/>
    </row>
    <row r="8" spans="1:10" x14ac:dyDescent="0.3">
      <c r="A8" s="1">
        <v>6</v>
      </c>
      <c r="B8" s="2" t="s">
        <v>13</v>
      </c>
      <c r="C8" s="11">
        <v>0</v>
      </c>
      <c r="D8" s="4">
        <v>30</v>
      </c>
      <c r="E8" s="5">
        <v>22.5</v>
      </c>
      <c r="F8" s="6">
        <f>IF(Inventario30[[#This Row],[Cantidad de unidades por bulto]]=0, 0, Inventario30[[#This Row],[Precio por bulto ($)]]/Inventario30[[#This Row],[Cantidad de unidades por bulto]])</f>
        <v>0.75</v>
      </c>
      <c r="G8" s="9">
        <f>Inventario30[[#This Row],[Precio]]*Inventario30[[#This Row],[Existencia]]</f>
        <v>0</v>
      </c>
      <c r="I8" s="1"/>
      <c r="J8" s="9"/>
    </row>
    <row r="9" spans="1:10" x14ac:dyDescent="0.3">
      <c r="A9" s="15">
        <v>7898051680011</v>
      </c>
      <c r="B9" s="2" t="s">
        <v>39</v>
      </c>
      <c r="C9" s="16">
        <v>0</v>
      </c>
      <c r="D9" s="17">
        <v>30</v>
      </c>
      <c r="E9" s="14">
        <v>22.5</v>
      </c>
      <c r="F9" s="6">
        <f>IF(Inventario30[[#This Row],[Cantidad de unidades por bulto]]=0, 0, Inventario30[[#This Row],[Precio por bulto ($)]]/Inventario30[[#This Row],[Cantidad de unidades por bulto]])</f>
        <v>0.75</v>
      </c>
      <c r="G9" s="9">
        <f>Inventario30[[#This Row],[Precio]]*Inventario30[[#This Row],[Existencia]]</f>
        <v>0</v>
      </c>
      <c r="I9" s="1"/>
      <c r="J9" s="9"/>
    </row>
    <row r="10" spans="1:10" x14ac:dyDescent="0.3">
      <c r="A10" s="1">
        <v>7</v>
      </c>
      <c r="B10" s="10" t="s">
        <v>14</v>
      </c>
      <c r="C10" s="11">
        <v>0</v>
      </c>
      <c r="D10" s="4">
        <v>20</v>
      </c>
      <c r="E10" s="5">
        <v>25</v>
      </c>
      <c r="F10" s="6">
        <f>IF(Inventario30[[#This Row],[Cantidad de unidades por bulto]]=0, 0, Inventario30[[#This Row],[Precio por bulto ($)]]/Inventario30[[#This Row],[Cantidad de unidades por bulto]])</f>
        <v>1.25</v>
      </c>
      <c r="G10" s="9">
        <f>Inventario30[[#This Row],[Precio]]*Inventario30[[#This Row],[Existencia]]</f>
        <v>0</v>
      </c>
      <c r="I10" s="1"/>
      <c r="J10" s="9"/>
    </row>
    <row r="11" spans="1:10" x14ac:dyDescent="0.3">
      <c r="A11" s="1">
        <v>8</v>
      </c>
      <c r="B11" s="10" t="s">
        <v>15</v>
      </c>
      <c r="C11" s="11">
        <v>0</v>
      </c>
      <c r="D11" s="4">
        <v>1</v>
      </c>
      <c r="E11" s="5">
        <v>11</v>
      </c>
      <c r="F11" s="6">
        <f>IF(Inventario30[[#This Row],[Cantidad de unidades por bulto]]=0, 0, Inventario30[[#This Row],[Precio por bulto ($)]]/Inventario30[[#This Row],[Cantidad de unidades por bulto]])</f>
        <v>11</v>
      </c>
      <c r="G11" s="9">
        <f>Inventario30[[#This Row],[Precio]]*Inventario30[[#This Row],[Existencia]]</f>
        <v>0</v>
      </c>
      <c r="I11" s="1"/>
      <c r="J11" s="9"/>
    </row>
    <row r="12" spans="1:10" x14ac:dyDescent="0.3">
      <c r="A12" s="15">
        <v>32</v>
      </c>
      <c r="B12" s="2" t="s">
        <v>46</v>
      </c>
      <c r="C12" s="11">
        <v>0</v>
      </c>
      <c r="D12" s="4">
        <v>1</v>
      </c>
      <c r="E12" s="14">
        <v>11</v>
      </c>
      <c r="F12" s="6">
        <f>IF(Inventario30[[#This Row],[Cantidad de unidades por bulto]]=0, 0, Inventario30[[#This Row],[Precio por bulto ($)]]/Inventario30[[#This Row],[Cantidad de unidades por bulto]])</f>
        <v>11</v>
      </c>
      <c r="G12" s="9">
        <f>Inventario30[[#This Row],[Precio]]*Inventario30[[#This Row],[Existencia]]</f>
        <v>0</v>
      </c>
      <c r="I12" s="1"/>
      <c r="J12" s="9"/>
    </row>
    <row r="13" spans="1:10" x14ac:dyDescent="0.3">
      <c r="A13" s="15">
        <v>7842308000022</v>
      </c>
      <c r="B13" s="2" t="s">
        <v>42</v>
      </c>
      <c r="C13" s="11">
        <v>0</v>
      </c>
      <c r="D13" s="4">
        <v>10</v>
      </c>
      <c r="E13" s="14">
        <v>12.5</v>
      </c>
      <c r="F13" s="6">
        <f>IF(Inventario30[[#This Row],[Cantidad de unidades por bulto]]=0, 0, Inventario30[[#This Row],[Precio por bulto ($)]]/Inventario30[[#This Row],[Cantidad de unidades por bulto]])</f>
        <v>1.25</v>
      </c>
      <c r="G13" s="9">
        <f>Inventario30[[#This Row],[Precio]]*Inventario30[[#This Row],[Existencia]]</f>
        <v>0</v>
      </c>
      <c r="H13" s="4"/>
    </row>
    <row r="14" spans="1:10" x14ac:dyDescent="0.3">
      <c r="A14" s="1">
        <v>9</v>
      </c>
      <c r="B14" s="2" t="s">
        <v>16</v>
      </c>
      <c r="C14" s="11">
        <v>0</v>
      </c>
      <c r="D14" s="4">
        <v>12</v>
      </c>
      <c r="E14" s="5">
        <v>13.5</v>
      </c>
      <c r="F14" s="6">
        <f>IF(Inventario30[[#This Row],[Cantidad de unidades por bulto]]=0, 0, Inventario30[[#This Row],[Precio por bulto ($)]]/Inventario30[[#This Row],[Cantidad de unidades por bulto]])</f>
        <v>1.125</v>
      </c>
      <c r="G14" s="9">
        <f>Inventario30[[#This Row],[Precio]]*Inventario30[[#This Row],[Existencia]]</f>
        <v>0</v>
      </c>
    </row>
    <row r="15" spans="1:10" x14ac:dyDescent="0.3">
      <c r="A15" s="1">
        <v>10</v>
      </c>
      <c r="B15" s="2" t="s">
        <v>17</v>
      </c>
      <c r="C15" s="11">
        <v>0</v>
      </c>
      <c r="D15" s="4">
        <v>12</v>
      </c>
      <c r="E15" s="5">
        <v>8.39</v>
      </c>
      <c r="F15" s="6">
        <f>IF(Inventario30[[#This Row],[Cantidad de unidades por bulto]]=0, 0, Inventario30[[#This Row],[Precio por bulto ($)]]/Inventario30[[#This Row],[Cantidad de unidades por bulto]])</f>
        <v>0.69916666666666671</v>
      </c>
      <c r="G15" s="9">
        <f>Inventario30[[#This Row],[Precio]]*Inventario30[[#This Row],[Existencia]]</f>
        <v>0</v>
      </c>
    </row>
    <row r="16" spans="1:10" x14ac:dyDescent="0.3">
      <c r="A16" s="15">
        <v>7896547501277</v>
      </c>
      <c r="B16" s="2" t="s">
        <v>45</v>
      </c>
      <c r="C16" s="11">
        <v>0</v>
      </c>
      <c r="D16" s="4">
        <v>12</v>
      </c>
      <c r="E16" s="14">
        <v>13.5</v>
      </c>
      <c r="F16" s="6">
        <f>IF(Inventario30[[#This Row],[Cantidad de unidades por bulto]]=0, 0, Inventario30[[#This Row],[Precio por bulto ($)]]/Inventario30[[#This Row],[Cantidad de unidades por bulto]])</f>
        <v>1.125</v>
      </c>
      <c r="G16" s="9">
        <f>Inventario30[[#This Row],[Precio]]*Inventario30[[#This Row],[Existencia]]</f>
        <v>0</v>
      </c>
    </row>
    <row r="17" spans="1:7" x14ac:dyDescent="0.3">
      <c r="A17" s="15">
        <v>31</v>
      </c>
      <c r="B17" s="2" t="s">
        <v>44</v>
      </c>
      <c r="C17" s="11">
        <v>0</v>
      </c>
      <c r="D17" s="4">
        <v>12</v>
      </c>
      <c r="E17" s="14">
        <v>13.5</v>
      </c>
      <c r="F17" s="6">
        <f>IF(Inventario30[[#This Row],[Cantidad de unidades por bulto]]=0, 0, Inventario30[[#This Row],[Precio por bulto ($)]]/Inventario30[[#This Row],[Cantidad de unidades por bulto]])</f>
        <v>1.125</v>
      </c>
      <c r="G17" s="9">
        <f>Inventario30[[#This Row],[Precio]]*Inventario30[[#This Row],[Existencia]]</f>
        <v>0</v>
      </c>
    </row>
    <row r="18" spans="1:7" x14ac:dyDescent="0.3">
      <c r="A18" s="1">
        <v>11</v>
      </c>
      <c r="B18" s="2" t="s">
        <v>18</v>
      </c>
      <c r="C18" s="11">
        <v>0</v>
      </c>
      <c r="D18" s="4">
        <v>26</v>
      </c>
      <c r="E18" s="5">
        <v>16.5</v>
      </c>
      <c r="F18" s="6">
        <f>IF(Inventario30[[#This Row],[Cantidad de unidades por bulto]]=0, 0, Inventario30[[#This Row],[Precio por bulto ($)]]/Inventario30[[#This Row],[Cantidad de unidades por bulto]])</f>
        <v>0.63461538461538458</v>
      </c>
      <c r="G18" s="9">
        <f>Inventario30[[#This Row],[Precio]]*Inventario30[[#This Row],[Existencia]]</f>
        <v>0</v>
      </c>
    </row>
    <row r="19" spans="1:7" x14ac:dyDescent="0.3">
      <c r="A19" s="1">
        <v>12</v>
      </c>
      <c r="B19" s="2" t="s">
        <v>19</v>
      </c>
      <c r="C19" s="11">
        <v>0</v>
      </c>
      <c r="D19" s="4">
        <v>120</v>
      </c>
      <c r="E19" s="5">
        <v>12.5</v>
      </c>
      <c r="F19" s="6">
        <f>IF(Inventario30[[#This Row],[Cantidad de unidades por bulto]]=0, 0, Inventario30[[#This Row],[Precio por bulto ($)]]/Inventario30[[#This Row],[Cantidad de unidades por bulto]])</f>
        <v>0.10416666666666667</v>
      </c>
      <c r="G19" s="9">
        <f>Inventario30[[#This Row],[Precio]]*Inventario30[[#This Row],[Existencia]]</f>
        <v>0</v>
      </c>
    </row>
    <row r="20" spans="1:7" x14ac:dyDescent="0.3">
      <c r="A20" s="1">
        <v>13</v>
      </c>
      <c r="B20" s="10" t="s">
        <v>20</v>
      </c>
      <c r="C20" s="11">
        <v>0</v>
      </c>
      <c r="D20" s="4">
        <v>30</v>
      </c>
      <c r="E20" s="5">
        <v>78</v>
      </c>
      <c r="F20" s="6">
        <f>IF(Inventario30[[#This Row],[Cantidad de unidades por bulto]]=0, 0, Inventario30[[#This Row],[Precio por bulto ($)]]/Inventario30[[#This Row],[Cantidad de unidades por bulto]])</f>
        <v>2.6</v>
      </c>
      <c r="G20" s="9">
        <f>Inventario30[[#This Row],[Precio]]*Inventario30[[#This Row],[Existencia]]</f>
        <v>0</v>
      </c>
    </row>
    <row r="21" spans="1:7" x14ac:dyDescent="0.3">
      <c r="A21" s="1">
        <v>14</v>
      </c>
      <c r="B21" s="2" t="s">
        <v>21</v>
      </c>
      <c r="C21" s="11">
        <v>0</v>
      </c>
      <c r="D21" s="4">
        <v>10</v>
      </c>
      <c r="E21" s="5">
        <v>9</v>
      </c>
      <c r="F21" s="6">
        <f>IF(Inventario30[[#This Row],[Cantidad de unidades por bulto]]=0, 0, Inventario30[[#This Row],[Precio por bulto ($)]]/Inventario30[[#This Row],[Cantidad de unidades por bulto]])</f>
        <v>0.9</v>
      </c>
      <c r="G21" s="9">
        <f>Inventario30[[#This Row],[Precio]]*Inventario30[[#This Row],[Existencia]]</f>
        <v>0</v>
      </c>
    </row>
    <row r="22" spans="1:7" x14ac:dyDescent="0.3">
      <c r="A22" s="1">
        <v>15</v>
      </c>
      <c r="B22" s="2" t="s">
        <v>22</v>
      </c>
      <c r="C22" s="11">
        <v>0</v>
      </c>
      <c r="D22" s="4">
        <v>1</v>
      </c>
      <c r="E22" s="5">
        <v>45</v>
      </c>
      <c r="F22" s="6">
        <f>IF(Inventario30[[#This Row],[Cantidad de unidades por bulto]]=0, 0, Inventario30[[#This Row],[Precio por bulto ($)]]/Inventario30[[#This Row],[Cantidad de unidades por bulto]])</f>
        <v>45</v>
      </c>
      <c r="G22" s="9">
        <f>Inventario30[[#This Row],[Precio]]*Inventario30[[#This Row],[Existencia]]</f>
        <v>0</v>
      </c>
    </row>
    <row r="23" spans="1:7" x14ac:dyDescent="0.3">
      <c r="A23" s="1">
        <v>16</v>
      </c>
      <c r="B23" s="2" t="s">
        <v>23</v>
      </c>
      <c r="C23" s="11">
        <v>0</v>
      </c>
      <c r="D23" s="4">
        <v>10</v>
      </c>
      <c r="E23" s="5">
        <v>16</v>
      </c>
      <c r="F23" s="6">
        <f>IF(Inventario30[[#This Row],[Cantidad de unidades por bulto]]=0, 0, Inventario30[[#This Row],[Precio por bulto ($)]]/Inventario30[[#This Row],[Cantidad de unidades por bulto]])</f>
        <v>1.6</v>
      </c>
      <c r="G23" s="9">
        <f>Inventario30[[#This Row],[Precio]]*Inventario30[[#This Row],[Existencia]]</f>
        <v>0</v>
      </c>
    </row>
    <row r="24" spans="1:7" x14ac:dyDescent="0.3">
      <c r="A24" s="1">
        <v>29</v>
      </c>
      <c r="B24" s="2" t="s">
        <v>37</v>
      </c>
      <c r="C24" s="16">
        <v>0</v>
      </c>
      <c r="D24" s="17">
        <v>50</v>
      </c>
      <c r="E24" s="14">
        <v>11</v>
      </c>
      <c r="F24" s="6">
        <f>IF(Inventario30[[#This Row],[Cantidad de unidades por bulto]]=0, 0, Inventario30[[#This Row],[Precio por bulto ($)]]/Inventario30[[#This Row],[Cantidad de unidades por bulto]])</f>
        <v>0.22</v>
      </c>
      <c r="G24" s="9">
        <f>Inventario30[[#This Row],[Precio]]*Inventario30[[#This Row],[Existencia]]</f>
        <v>0</v>
      </c>
    </row>
    <row r="25" spans="1:7" x14ac:dyDescent="0.3">
      <c r="A25" s="1">
        <v>17</v>
      </c>
      <c r="B25" s="2" t="s">
        <v>24</v>
      </c>
      <c r="C25" s="11">
        <v>0</v>
      </c>
      <c r="D25" s="4">
        <v>12</v>
      </c>
      <c r="E25" s="5">
        <v>4.22</v>
      </c>
      <c r="F25" s="6">
        <f>IF(Inventario30[[#This Row],[Cantidad de unidades por bulto]]=0, 0, Inventario30[[#This Row],[Precio por bulto ($)]]/Inventario30[[#This Row],[Cantidad de unidades por bulto]])</f>
        <v>0.35166666666666663</v>
      </c>
      <c r="G25" s="9">
        <f>Inventario30[[#This Row],[Precio]]*Inventario30[[#This Row],[Existencia]]</f>
        <v>0</v>
      </c>
    </row>
    <row r="26" spans="1:7" x14ac:dyDescent="0.3">
      <c r="A26" s="1">
        <v>18</v>
      </c>
      <c r="B26" s="2" t="s">
        <v>25</v>
      </c>
      <c r="C26" s="11">
        <v>0</v>
      </c>
      <c r="D26" s="4">
        <v>25</v>
      </c>
      <c r="E26" s="5">
        <v>45</v>
      </c>
      <c r="F26" s="6">
        <f>IF(Inventario30[[#This Row],[Cantidad de unidades por bulto]]=0, 0, Inventario30[[#This Row],[Precio por bulto ($)]]/Inventario30[[#This Row],[Cantidad de unidades por bulto]])</f>
        <v>1.8</v>
      </c>
      <c r="G26" s="9">
        <f>Inventario30[[#This Row],[Precio]]*Inventario30[[#This Row],[Existencia]]</f>
        <v>0</v>
      </c>
    </row>
    <row r="27" spans="1:7" x14ac:dyDescent="0.3">
      <c r="A27" s="1">
        <v>19</v>
      </c>
      <c r="B27" s="10" t="s">
        <v>26</v>
      </c>
      <c r="C27" s="11">
        <v>0</v>
      </c>
      <c r="D27" s="4">
        <v>20</v>
      </c>
      <c r="E27" s="5">
        <v>72.5</v>
      </c>
      <c r="F27" s="6">
        <f>IF(Inventario30[[#This Row],[Cantidad de unidades por bulto]]=0, 0, Inventario30[[#This Row],[Precio por bulto ($)]]/Inventario30[[#This Row],[Cantidad de unidades por bulto]])</f>
        <v>3.625</v>
      </c>
      <c r="G27" s="9">
        <f>Inventario30[[#This Row],[Precio]]*Inventario30[[#This Row],[Existencia]]</f>
        <v>0</v>
      </c>
    </row>
    <row r="28" spans="1:7" x14ac:dyDescent="0.3">
      <c r="A28" s="1">
        <v>20</v>
      </c>
      <c r="B28" s="10" t="s">
        <v>27</v>
      </c>
      <c r="C28" s="11">
        <v>0</v>
      </c>
      <c r="D28" s="4">
        <v>24</v>
      </c>
      <c r="E28" s="5">
        <v>12.5</v>
      </c>
      <c r="F28" s="6">
        <f>IF(Inventario30[[#This Row],[Cantidad de unidades por bulto]]=0, 0, Inventario30[[#This Row],[Precio por bulto ($)]]/Inventario30[[#This Row],[Cantidad de unidades por bulto]])</f>
        <v>0.52083333333333337</v>
      </c>
      <c r="G28" s="9">
        <f>Inventario30[[#This Row],[Precio]]*Inventario30[[#This Row],[Existencia]]</f>
        <v>0</v>
      </c>
    </row>
    <row r="29" spans="1:7" x14ac:dyDescent="0.3">
      <c r="A29" s="15">
        <v>30</v>
      </c>
      <c r="B29" s="2" t="s">
        <v>43</v>
      </c>
      <c r="C29" s="11">
        <v>0</v>
      </c>
      <c r="D29" s="4">
        <v>1</v>
      </c>
      <c r="E29" s="14">
        <v>29</v>
      </c>
      <c r="F29" s="6">
        <f>IF(Inventario30[[#This Row],[Cantidad de unidades por bulto]]=0, 0, Inventario30[[#This Row],[Precio por bulto ($)]]/Inventario30[[#This Row],[Cantidad de unidades por bulto]])</f>
        <v>29</v>
      </c>
      <c r="G29" s="9">
        <f>Inventario30[[#This Row],[Precio]]*Inventario30[[#This Row],[Existencia]]</f>
        <v>0</v>
      </c>
    </row>
    <row r="30" spans="1:7" x14ac:dyDescent="0.3">
      <c r="A30" s="1">
        <v>21</v>
      </c>
      <c r="B30" s="2" t="s">
        <v>28</v>
      </c>
      <c r="C30" s="11">
        <v>0</v>
      </c>
      <c r="D30" s="4">
        <v>24</v>
      </c>
      <c r="E30" s="5">
        <v>12.5</v>
      </c>
      <c r="F30" s="6">
        <f>IF(Inventario30[[#This Row],[Cantidad de unidades por bulto]]=0, 0, Inventario30[[#This Row],[Precio por bulto ($)]]/Inventario30[[#This Row],[Cantidad de unidades por bulto]])</f>
        <v>0.52083333333333337</v>
      </c>
      <c r="G30" s="9">
        <f>Inventario30[[#This Row],[Precio]]*Inventario30[[#This Row],[Existencia]]</f>
        <v>0</v>
      </c>
    </row>
    <row r="31" spans="1:7" x14ac:dyDescent="0.3">
      <c r="A31" s="15">
        <v>7896102509434</v>
      </c>
      <c r="B31" s="2" t="s">
        <v>40</v>
      </c>
      <c r="C31" s="16">
        <v>0</v>
      </c>
      <c r="D31" s="17">
        <v>24</v>
      </c>
      <c r="E31" s="14">
        <v>9</v>
      </c>
      <c r="F31" s="6">
        <f>IF(Inventario30[[#This Row],[Cantidad de unidades por bulto]]=0, 0, Inventario30[[#This Row],[Precio por bulto ($)]]/Inventario30[[#This Row],[Cantidad de unidades por bulto]])</f>
        <v>0.375</v>
      </c>
      <c r="G31" s="9">
        <f>Inventario30[[#This Row],[Precio]]*Inventario30[[#This Row],[Existencia]]</f>
        <v>0</v>
      </c>
    </row>
    <row r="32" spans="1:7" x14ac:dyDescent="0.3">
      <c r="A32" s="1">
        <v>22</v>
      </c>
      <c r="B32" s="10" t="s">
        <v>29</v>
      </c>
      <c r="C32" s="11">
        <v>0</v>
      </c>
      <c r="D32" s="4">
        <v>1</v>
      </c>
      <c r="E32" s="5">
        <v>7.05</v>
      </c>
      <c r="F32" s="6">
        <f>IF(Inventario30[[#This Row],[Cantidad de unidades por bulto]]=0, 0, Inventario30[[#This Row],[Precio por bulto ($)]]/Inventario30[[#This Row],[Cantidad de unidades por bulto]])</f>
        <v>7.05</v>
      </c>
      <c r="G32" s="9">
        <f>Inventario30[[#This Row],[Precio]]*Inventario30[[#This Row],[Existencia]]</f>
        <v>0</v>
      </c>
    </row>
    <row r="33" spans="1:7" x14ac:dyDescent="0.3">
      <c r="A33" s="1">
        <v>23</v>
      </c>
      <c r="B33" s="10" t="s">
        <v>30</v>
      </c>
      <c r="C33" s="11">
        <v>0</v>
      </c>
      <c r="D33" s="4">
        <v>1</v>
      </c>
      <c r="E33" s="5">
        <v>7.05</v>
      </c>
      <c r="F33" s="6">
        <f>IF(Inventario30[[#This Row],[Cantidad de unidades por bulto]]=0, 0, Inventario30[[#This Row],[Precio por bulto ($)]]/Inventario30[[#This Row],[Cantidad de unidades por bulto]])</f>
        <v>7.05</v>
      </c>
      <c r="G33" s="9">
        <f>Inventario30[[#This Row],[Precio]]*Inventario30[[#This Row],[Existencia]]</f>
        <v>0</v>
      </c>
    </row>
    <row r="34" spans="1:7" x14ac:dyDescent="0.3">
      <c r="A34" s="1">
        <v>24</v>
      </c>
      <c r="B34" s="10" t="s">
        <v>31</v>
      </c>
      <c r="C34" s="11">
        <v>0</v>
      </c>
      <c r="D34" s="4">
        <v>1</v>
      </c>
      <c r="E34" s="5">
        <v>7.05</v>
      </c>
      <c r="F34" s="6">
        <f>IF(Inventario30[[#This Row],[Cantidad de unidades por bulto]]=0, 0, Inventario30[[#This Row],[Precio por bulto ($)]]/Inventario30[[#This Row],[Cantidad de unidades por bulto]])</f>
        <v>7.05</v>
      </c>
      <c r="G34" s="9">
        <f>Inventario30[[#This Row],[Precio]]*Inventario30[[#This Row],[Existencia]]</f>
        <v>0</v>
      </c>
    </row>
    <row r="35" spans="1:7" x14ac:dyDescent="0.3">
      <c r="A35" s="1">
        <v>25</v>
      </c>
      <c r="B35" s="10" t="s">
        <v>32</v>
      </c>
      <c r="C35" s="11">
        <v>0</v>
      </c>
      <c r="D35" s="4">
        <v>10</v>
      </c>
      <c r="E35" s="5">
        <v>19.5</v>
      </c>
      <c r="F35" s="6">
        <f>IF(Inventario30[[#This Row],[Cantidad de unidades por bulto]]=0, 0, Inventario30[[#This Row],[Precio por bulto ($)]]/Inventario30[[#This Row],[Cantidad de unidades por bulto]])</f>
        <v>1.95</v>
      </c>
      <c r="G35" s="9">
        <f>Inventario30[[#This Row],[Precio]]*Inventario30[[#This Row],[Existencia]]</f>
        <v>0</v>
      </c>
    </row>
    <row r="36" spans="1:7" x14ac:dyDescent="0.3">
      <c r="A36" s="1">
        <v>26</v>
      </c>
      <c r="B36" s="10" t="s">
        <v>33</v>
      </c>
      <c r="C36" s="11">
        <v>0</v>
      </c>
      <c r="D36" s="4">
        <v>30</v>
      </c>
      <c r="E36" s="5">
        <v>9</v>
      </c>
      <c r="F36" s="6">
        <f>IF(Inventario30[[#This Row],[Cantidad de unidades por bulto]]=0, 0, Inventario30[[#This Row],[Precio por bulto ($)]]/Inventario30[[#This Row],[Cantidad de unidades por bulto]])</f>
        <v>0.3</v>
      </c>
      <c r="G36" s="9">
        <f>Inventario30[[#This Row],[Precio]]*Inventario30[[#This Row],[Existencia]]</f>
        <v>0</v>
      </c>
    </row>
    <row r="37" spans="1:7" x14ac:dyDescent="0.3">
      <c r="A37" s="1">
        <v>27</v>
      </c>
      <c r="B37" s="10" t="s">
        <v>34</v>
      </c>
      <c r="C37" s="11">
        <v>0</v>
      </c>
      <c r="D37" s="4">
        <v>1</v>
      </c>
      <c r="E37" s="5">
        <v>13.5</v>
      </c>
      <c r="F37" s="6">
        <f>IF(Inventario30[[#This Row],[Cantidad de unidades por bulto]]=0, 0, Inventario30[[#This Row],[Precio por bulto ($)]]/Inventario30[[#This Row],[Cantidad de unidades por bulto]])</f>
        <v>13.5</v>
      </c>
      <c r="G37" s="9">
        <f>Inventario30[[#This Row],[Precio]]*Inventario30[[#This Row],[Existencia]]</f>
        <v>0</v>
      </c>
    </row>
    <row r="38" spans="1:7" x14ac:dyDescent="0.3">
      <c r="A38" s="15">
        <v>34</v>
      </c>
      <c r="B38" s="2" t="s">
        <v>47</v>
      </c>
      <c r="C38" s="11">
        <v>0</v>
      </c>
      <c r="D38" s="4">
        <v>1</v>
      </c>
      <c r="E38" s="14">
        <v>11</v>
      </c>
      <c r="F38" s="6">
        <f>IF(Inventario30[[#This Row],[Cantidad de unidades por bulto]]=0, 0, Inventario30[[#This Row],[Precio por bulto ($)]]/Inventario30[[#This Row],[Cantidad de unidades por bulto]])</f>
        <v>11</v>
      </c>
      <c r="G38" s="9">
        <f>Inventario30[[#This Row],[Precio]]*Inventario30[[#This Row],[Existencia]]</f>
        <v>0</v>
      </c>
    </row>
    <row r="39" spans="1:7" x14ac:dyDescent="0.3">
      <c r="A39" s="1">
        <v>28</v>
      </c>
      <c r="B39" s="10" t="s">
        <v>35</v>
      </c>
      <c r="C39" s="11">
        <v>0</v>
      </c>
      <c r="D39" s="4">
        <v>24</v>
      </c>
      <c r="E39" s="5">
        <v>13.5</v>
      </c>
      <c r="F39" s="6">
        <f>IF(Inventario30[[#This Row],[Cantidad de unidades por bulto]]=0, 0, Inventario30[[#This Row],[Precio por bulto ($)]]/Inventario30[[#This Row],[Cantidad de unidades por bulto]])</f>
        <v>0.5625</v>
      </c>
      <c r="G39" s="9">
        <f>Inventario30[[#This Row],[Precio]]*Inventario30[[#This Row],[Existencia]]</f>
        <v>0</v>
      </c>
    </row>
    <row r="40" spans="1:7" x14ac:dyDescent="0.3">
      <c r="A40" s="15">
        <v>35</v>
      </c>
      <c r="B40" s="2" t="s">
        <v>48</v>
      </c>
      <c r="C40" s="11">
        <v>0</v>
      </c>
      <c r="D40" s="4">
        <v>6</v>
      </c>
      <c r="E40" s="14">
        <v>12</v>
      </c>
      <c r="F40" s="6">
        <f>IF(Inventario30[[#This Row],[Cantidad de unidades por bulto]]=0, 0, Inventario30[[#This Row],[Precio por bulto ($)]]/Inventario30[[#This Row],[Cantidad de unidades por bulto]])</f>
        <v>2</v>
      </c>
      <c r="G40" s="9">
        <f>Inventario30[[#This Row],[Precio]]*Inventario30[[#This Row],[Existencia]]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B3C196-E984-4A06-A9DF-08A0F4B557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Inicio</vt:lpstr>
      <vt:lpstr>V-10000038</vt:lpstr>
      <vt:lpstr>V-10000037</vt:lpstr>
      <vt:lpstr>J-100000001</vt:lpstr>
      <vt:lpstr>V-10000036</vt:lpstr>
      <vt:lpstr>V-10000035</vt:lpstr>
      <vt:lpstr>V-10000034</vt:lpstr>
      <vt:lpstr>V-10000033</vt:lpstr>
      <vt:lpstr>V-22818980</vt:lpstr>
      <vt:lpstr>V-10000032</vt:lpstr>
      <vt:lpstr>V-10000031</vt:lpstr>
      <vt:lpstr>V-10000030</vt:lpstr>
      <vt:lpstr>V-10000029</vt:lpstr>
      <vt:lpstr>V-10000025</vt:lpstr>
      <vt:lpstr>V-10000024</vt:lpstr>
      <vt:lpstr>V-10000023</vt:lpstr>
      <vt:lpstr>V-10000022</vt:lpstr>
      <vt:lpstr>V-10000021</vt:lpstr>
      <vt:lpstr>V-10000020</vt:lpstr>
      <vt:lpstr>V-10000019</vt:lpstr>
      <vt:lpstr>V-10000018</vt:lpstr>
      <vt:lpstr>V-10000017</vt:lpstr>
      <vt:lpstr>V-10000016</vt:lpstr>
      <vt:lpstr>V-10000015</vt:lpstr>
      <vt:lpstr>V-10000014</vt:lpstr>
      <vt:lpstr>V-10000013</vt:lpstr>
      <vt:lpstr>V-10000012</vt:lpstr>
      <vt:lpstr>V-10000011</vt:lpstr>
      <vt:lpstr>V-10553146</vt:lpstr>
      <vt:lpstr>V-25017131</vt:lpstr>
      <vt:lpstr>V-10000010</vt:lpstr>
      <vt:lpstr>V-10000009</vt:lpstr>
      <vt:lpstr>V-10000008</vt:lpstr>
      <vt:lpstr>V-10000007</vt:lpstr>
      <vt:lpstr>V-10000006</vt:lpstr>
      <vt:lpstr>V-10000005</vt:lpstr>
      <vt:lpstr>V-10000004</vt:lpstr>
      <vt:lpstr>V-10000003</vt:lpstr>
      <vt:lpstr>V-10000002</vt:lpstr>
      <vt:lpstr>V-10000001</vt:lpstr>
      <vt:lpstr>Base</vt:lpstr>
      <vt:lpstr>V-10000028</vt:lpstr>
      <vt:lpstr>V-10000027</vt:lpstr>
      <vt:lpstr>V-10000026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Rodolfo Marsili</dc:creator>
  <cp:lastModifiedBy>Rodolfo Marsili</cp:lastModifiedBy>
  <dcterms:created xsi:type="dcterms:W3CDTF">2015-06-05T18:19:34Z</dcterms:created>
  <dcterms:modified xsi:type="dcterms:W3CDTF">2023-01-13T18:17:50Z</dcterms:modified>
</cp:coreProperties>
</file>