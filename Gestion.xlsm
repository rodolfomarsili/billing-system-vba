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6e8ae564dd8449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si\Downloads\Gestion\Gestion_DEV\"/>
    </mc:Choice>
  </mc:AlternateContent>
  <xr:revisionPtr revIDLastSave="0" documentId="13_ncr:1_{977AAEE4-4AEE-4121-BF33-7FFED1B92B9B}" xr6:coauthVersionLast="47" xr6:coauthVersionMax="47" xr10:uidLastSave="{00000000-0000-0000-0000-000000000000}"/>
  <bookViews>
    <workbookView showSheetTabs="0" xWindow="-108" yWindow="-108" windowWidth="23256" windowHeight="12456" firstSheet="1" activeTab="1" xr2:uid="{00000000-000D-0000-FFFF-FFFF00000000}"/>
  </bookViews>
  <sheets>
    <sheet name="Inicio" sheetId="9" state="hidden" r:id="rId1"/>
    <sheet name="Dashboard" sheetId="4" r:id="rId2"/>
    <sheet name="Usuarios" sheetId="7" state="hidden" r:id="rId3"/>
    <sheet name="Gestion Interna" sheetId="8" state="hidden" r:id="rId4"/>
  </sheets>
  <functionGroups builtInGroupCount="19"/>
  <externalReferences>
    <externalReference r:id="rId5"/>
  </externalReferences>
  <definedNames>
    <definedName name="_xlnm.Criteria" localSheetId="1">Dashboard!#REF!</definedName>
    <definedName name="_xlnm.Extract" localSheetId="1">Dashboard!$L$7:$R$7</definedName>
  </definedNames>
  <calcPr calcId="191029"/>
  <pivotCaches>
    <pivotCache cacheId="7" r:id="rId6"/>
    <pivotCache cacheId="9" r:id="rId7"/>
    <pivotCache cacheId="1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4" l="1"/>
  <c r="G3" i="4"/>
  <c r="F3" i="4"/>
  <c r="B3" i="4"/>
</calcChain>
</file>

<file path=xl/sharedStrings.xml><?xml version="1.0" encoding="utf-8"?>
<sst xmlns="http://schemas.openxmlformats.org/spreadsheetml/2006/main" count="70" uniqueCount="59">
  <si>
    <t>Corina Bolivar</t>
  </si>
  <si>
    <t>V-10553146</t>
  </si>
  <si>
    <t>Rodolfo Marsili</t>
  </si>
  <si>
    <t>V-25017131</t>
  </si>
  <si>
    <t>Nombre</t>
  </si>
  <si>
    <t>ID</t>
  </si>
  <si>
    <t>Usuario</t>
  </si>
  <si>
    <t>Contraseña</t>
  </si>
  <si>
    <t>corina</t>
  </si>
  <si>
    <t>Datos de Usuario Actual:</t>
  </si>
  <si>
    <t>Nombre:</t>
  </si>
  <si>
    <t>ID:</t>
  </si>
  <si>
    <t>Usuario:</t>
  </si>
  <si>
    <t>Status:</t>
  </si>
  <si>
    <t>deibys</t>
  </si>
  <si>
    <t>Deibys Cardenas</t>
  </si>
  <si>
    <t>V-25081137</t>
  </si>
  <si>
    <t>marsili95</t>
  </si>
  <si>
    <t>Consignaciones</t>
  </si>
  <si>
    <t xml:space="preserve">Creditos </t>
  </si>
  <si>
    <t>Cliente</t>
  </si>
  <si>
    <t xml:space="preserve"> </t>
  </si>
  <si>
    <t>BRL-CORINA</t>
  </si>
  <si>
    <t>BRL-DEIBYS</t>
  </si>
  <si>
    <t>BRL-RODOLFO</t>
  </si>
  <si>
    <t>USD-CORINA</t>
  </si>
  <si>
    <t>USD-DEIBYS</t>
  </si>
  <si>
    <t>USD-RODOLFO</t>
  </si>
  <si>
    <t>VES-CORINA</t>
  </si>
  <si>
    <t>VES-DEIBYS</t>
  </si>
  <si>
    <t>VES-RODOLFO</t>
  </si>
  <si>
    <t>Saldo Caja</t>
  </si>
  <si>
    <t>Cajas R$</t>
  </si>
  <si>
    <t>Cajas $</t>
  </si>
  <si>
    <t>Cajas Bs.S</t>
  </si>
  <si>
    <t>Inventario</t>
  </si>
  <si>
    <t>Activos:</t>
  </si>
  <si>
    <t>Tasa R$/$</t>
  </si>
  <si>
    <t>Tasa Bs/$</t>
  </si>
  <si>
    <t>Prestamos $</t>
  </si>
  <si>
    <t>Prestamos R$</t>
  </si>
  <si>
    <t>Prestamos Bs</t>
  </si>
  <si>
    <t>Deuda</t>
  </si>
  <si>
    <t>El Toro Bravo</t>
  </si>
  <si>
    <t>Luis Viera</t>
  </si>
  <si>
    <t>Alex Rodriguez</t>
  </si>
  <si>
    <t>Alexander</t>
  </si>
  <si>
    <t>Alfonzo</t>
  </si>
  <si>
    <t>Carlos Unare</t>
  </si>
  <si>
    <t>Mama de Deibys</t>
  </si>
  <si>
    <t>Nancy</t>
  </si>
  <si>
    <t>Yan</t>
  </si>
  <si>
    <t>Darwin Figuera</t>
  </si>
  <si>
    <t>Aurelia</t>
  </si>
  <si>
    <t>Marilu</t>
  </si>
  <si>
    <t>Ultima Transaccion</t>
  </si>
  <si>
    <t>Nestor</t>
  </si>
  <si>
    <t>Bodegon De Sire</t>
  </si>
  <si>
    <t>Desbloqueado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</si>
</sst>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[$BRL]\ * #,##0.00_-;\-[$BRL]\ * #,##0.00_-;_-[$BRL]\ * &quot;-&quot;??_-;_-@_-"/>
    <numFmt numFmtId="165" formatCode="_ [$Bs.S-200A]* #,##0.00_ ;_ [$Bs.S-200A]* \-#,##0.00_ ;_ [$Bs.S-200A]* &quot;-&quot;??_ ;_ @_ "/>
    <numFmt numFmtId="166" formatCode="_-[$$-540A]* #,##0.00_ ;_-[$$-540A]* \-#,##0.00\ ;_-[$$-540A]* &quot;-&quot;??_ ;_-@_ "/>
    <numFmt numFmtId="167" formatCode="_-[$$-409]* #,##0.00_ ;_-[$$-409]* \-#,##0.00\ ;_-[$$-409]* &quot;-&quot;??_ ;_-@_ "/>
    <numFmt numFmtId="168" formatCode="_-[$Bs.-400A]\ * #,##0.00_ ;_-[$Bs.-400A]\ * \-#,##0.00\ ;_-[$Bs.-400A]\ * &quot;-&quot;??_ ;_-@_ "/>
    <numFmt numFmtId="169" formatCode="_-[$Bs-400A]* #,##0.00_-;\-[$Bs-400A]* #,##0.00_-;_-[$Bs-400A]* &quot;-&quot;??_-;_-@_-"/>
    <numFmt numFmtId="170" formatCode="_(&quot;$&quot;* #,##0.000_);_(&quot;$&quot;* \(#,##0.000\);_(&quot;$&quot;* &quot;-&quot;??_);_(@_)"/>
    <numFmt numFmtId="171" formatCode="_-[$R$]\ * #,##0.00_-;[$R$]\ * \-#,##0.00_-;_-[$R$]\ * &quot;-&quot;??_-;_-@_-"/>
    <numFmt numFmtId="172" formatCode="_-[$$]\ * #,##0.00_-;[$$]\ * \-#,##0.00_-;_-[$$]\ * &quot;-&quot;??_-;_-@_-"/>
    <numFmt numFmtId="173" formatCode="_-[$Bs]\ * #,##0.00_-;[$Bs]\ * \-#,##0.00_-;_-[$Bs]\ * &quot;-&quot;??_-;_-@_-"/>
  </numFmts>
  <fonts count="7" x14ac:knownFonts="1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u/>
      <sz val="12"/>
      <color theme="1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44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right" vertical="center"/>
    </xf>
    <xf numFmtId="166" fontId="0" fillId="0" borderId="0" xfId="0" applyNumberForma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pivotButton="1" applyAlignment="1">
      <alignment horizontal="center" vertical="center"/>
    </xf>
    <xf numFmtId="165" fontId="0" fillId="0" borderId="0" xfId="0" applyNumberFormat="1"/>
    <xf numFmtId="44" fontId="0" fillId="0" borderId="0" xfId="0" applyNumberFormat="1" applyAlignment="1">
      <alignment horizontal="center" vertical="center"/>
    </xf>
    <xf numFmtId="44" fontId="0" fillId="0" borderId="0" xfId="3" applyFont="1" applyBorder="1" applyAlignment="1">
      <alignment vertical="center"/>
    </xf>
    <xf numFmtId="14" fontId="0" fillId="0" borderId="0" xfId="0" applyNumberFormat="1" applyAlignment="1">
      <alignment horizontal="left"/>
    </xf>
    <xf numFmtId="168" fontId="0" fillId="3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4" fontId="5" fillId="0" borderId="0" xfId="0" applyNumberFormat="1" applyFont="1" applyAlignment="1">
      <alignment horizontal="center" vertical="center"/>
    </xf>
    <xf numFmtId="171" fontId="0" fillId="0" borderId="0" xfId="0" applyNumberFormat="1"/>
    <xf numFmtId="171" fontId="4" fillId="3" borderId="1" xfId="0" applyNumberFormat="1" applyFont="1" applyFill="1" applyBorder="1"/>
    <xf numFmtId="0" fontId="6" fillId="0" borderId="0" xfId="0" applyFont="1" applyAlignment="1">
      <alignment horizontal="center" vertical="center"/>
    </xf>
    <xf numFmtId="0" fontId="6" fillId="0" borderId="0" xfId="0" applyFont="1"/>
    <xf numFmtId="44" fontId="2" fillId="2" borderId="1" xfId="3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/>
    </xf>
    <xf numFmtId="44" fontId="0" fillId="0" borderId="0" xfId="0" applyNumberFormat="1" applyBorder="1" applyAlignment="1">
      <alignment vertical="center"/>
    </xf>
    <xf numFmtId="170" fontId="0" fillId="0" borderId="0" xfId="0" applyNumberFormat="1" applyBorder="1" applyAlignment="1">
      <alignment vertical="center"/>
    </xf>
    <xf numFmtId="164" fontId="0" fillId="0" borderId="0" xfId="0" applyNumberFormat="1" applyBorder="1" applyAlignment="1">
      <alignment vertical="center"/>
    </xf>
    <xf numFmtId="169" fontId="0" fillId="0" borderId="0" xfId="0" applyNumberFormat="1" applyBorder="1" applyAlignment="1">
      <alignment vertical="center"/>
    </xf>
    <xf numFmtId="171" fontId="0" fillId="0" borderId="0" xfId="0" applyNumberFormat="1" applyBorder="1" applyAlignment="1">
      <alignment vertical="center"/>
    </xf>
  </cellXfs>
  <cellStyles count="4">
    <cellStyle name="Currency" xfId="3" builtinId="4"/>
    <cellStyle name="Normal" xfId="0" builtinId="0"/>
    <cellStyle name="Normal 2" xfId="1" xr:uid="{00000000-0005-0000-0000-000001000000}"/>
    <cellStyle name="Normal 3" xfId="2" xr:uid="{241ECE97-E02C-45B5-A667-2F0B71D3755A}"/>
  </cellStyles>
  <dxfs count="72"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1" formatCode="_-[$R$]\ * #,##0.00_-;[$R$]\ * \-#,##0.00_-;_-[$R$]\ * &quot;-&quot;??_-;_-@_-"/>
    </dxf>
    <dxf>
      <numFmt numFmtId="171" formatCode="_-[$R$]\ * #,##0.00_-;[$R$]\ * \-#,##0.00_-;_-[$R$]\ * &quot;-&quot;??_-;_-@_-"/>
    </dxf>
    <dxf>
      <numFmt numFmtId="171" formatCode="_-[$R$]\ * #,##0.00_-;[$R$]\ * \-#,##0.00_-;_-[$R$]\ * &quot;-&quot;??_-;_-@_-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70" formatCode="_(&quot;$&quot;* #,##0.000_);_(&quot;$&quot;* \(#,##0.000\);_(&quot;$&quot;* &quot;-&quot;??_);_(@_)"/>
    </dxf>
    <dxf>
      <numFmt numFmtId="170" formatCode="_(&quot;$&quot;* #,##0.000_);_(&quot;$&quot;* \(#,##0.000\);_(&quot;$&quot;* &quot;-&quot;??_);_(@_)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numFmt numFmtId="169" formatCode="_-[$Bs-400A]* #,##0.00_-;\-[$Bs-400A]* #,##0.00_-;_-[$Bs-400A]* &quot;-&quot;??_-;_-@_-"/>
    </dxf>
    <dxf>
      <numFmt numFmtId="164" formatCode="_-[$BRL]\ * #,##0.00_-;\-[$BRL]\ * #,##0.00_-;_-[$BRL]\ * &quot;-&quot;??_-;_-@_-"/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34" formatCode="_(&quot;$&quot;* #,##0.00_);_(&quot;$&quot;* \(#,##0.00\);_(&quot;$&quot;* &quot;-&quot;??_);_(@_)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34" formatCode="_(&quot;$&quot;* #,##0.00_);_(&quot;$&quot;* \(#,##0.00\);_(&quot;$&quot;* &quot;-&quot;??_);_(@_)"/>
    </dxf>
    <dxf>
      <numFmt numFmtId="165" formatCode="_ [$Bs.S-200A]* #,##0.00_ ;_ [$Bs.S-200A]* \-#,##0.00_ ;_ [$Bs.S-200A]* &quot;-&quot;??_ ;_ @_ "/>
    </dxf>
    <dxf>
      <numFmt numFmtId="165" formatCode="_ [$Bs.S-200A]* #,##0.00_ ;_ [$Bs.S-200A]* \-#,##0.00_ ;_ [$Bs.S-200A]* &quot;-&quot;??_ ;_ @_ "/>
    </dxf>
    <dxf>
      <numFmt numFmtId="34" formatCode="_(&quot;$&quot;* #,##0.00_);_(&quot;$&quot;* \(#,##0.00\);_(&quot;$&quot;* &quot;-&quot;??_);_(@_)"/>
    </dxf>
    <dxf>
      <numFmt numFmtId="164" formatCode="_-[$BRL]\ * #,##0.00_-;\-[$BRL]\ * #,##0.00_-;_-[$BRL]\ * &quot;-&quot;??_-;_-@_-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34" formatCode="_(&quot;$&quot;* #,##0.00_);_(&quot;$&quot;* \(#,##0.00\);_(&quot;$&quot;* &quot;-&quot;??_);_(@_)"/>
    </dxf>
    <dxf>
      <numFmt numFmtId="165" formatCode="_ [$Bs.S-200A]* #,##0.00_ ;_ [$Bs.S-200A]* \-#,##0.00_ ;_ [$Bs.S-200A]* &quot;-&quot;??_ ;_ @_ "/>
    </dxf>
    <dxf>
      <numFmt numFmtId="34" formatCode="_(&quot;$&quot;* #,##0.00_);_(&quot;$&quot;* \(#,##0.00\);_(&quot;$&quot;* &quot;-&quot;??_);_(@_)"/>
    </dxf>
    <dxf>
      <numFmt numFmtId="164" formatCode="_-[$BRL]\ * #,##0.00_-;\-[$BRL]\ * #,##0.00_-;_-[$BRL]\ * &quot;-&quot;??_-;_-@_-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71" formatCode="_-[$R$]\ * #,##0.00_-;[$R$]\ * \-#,##0.00_-;_-[$R$]\ * &quot;-&quot;??_-;_-@_-"/>
    </dxf>
    <dxf>
      <numFmt numFmtId="171" formatCode="_-[$R$]\ * #,##0.00_-;[$R$]\ * \-#,##0.00_-;_-[$R$]\ * &quot;-&quot;??_-;_-@_-"/>
    </dxf>
    <dxf>
      <numFmt numFmtId="171" formatCode="_-[$R$]\ * #,##0.00_-;[$R$]\ * \-#,##0.00_-;_-[$R$]\ * &quot;-&quot;??_-;_-@_-"/>
    </dxf>
    <dxf>
      <numFmt numFmtId="171" formatCode="_-[$R$]\ * #,##0.00_-;[$R$]\ * \-#,##0.00_-;_-[$R$]\ * &quot;-&quot;??_-;_-@_-"/>
    </dxf>
    <dxf>
      <numFmt numFmtId="164" formatCode="_-[$BRL]\ * #,##0.00_-;\-[$BRL]\ * #,##0.00_-;_-[$BRL]\ * &quot;-&quot;??_-;_-@_-"/>
    </dxf>
    <dxf>
      <numFmt numFmtId="165" formatCode="_ [$Bs.S-200A]* #,##0.00_ ;_ [$Bs.S-200A]* \-#,##0.00_ ;_ [$Bs.S-200A]* &quot;-&quot;??_ ;_ @_ "/>
    </dxf>
    <dxf>
      <numFmt numFmtId="34" formatCode="_(&quot;$&quot;* #,##0.00_);_(&quot;$&quot;* \(#,##0.00\);_(&quot;$&quot;* &quot;-&quot;??_);_(@_)"/>
    </dxf>
    <dxf>
      <numFmt numFmtId="164" formatCode="_-[$BRL]\ * #,##0.00_-;\-[$BRL]\ * #,##0.00_-;_-[$BRL]\ * &quot;-&quot;??_-;_-@_-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  <family val="1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</dxfs>
  <tableStyles count="0" defaultTableStyle="TableStyleMedium2" defaultPivotStyle="PivotStyleLight16"/>
  <colors>
    <mruColors>
      <color rgb="FF459D39"/>
      <color rgb="FF3E985A"/>
      <color rgb="FF50B8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175260</xdr:rowOff>
        </xdr:from>
        <xdr:to>
          <xdr:col>13</xdr:col>
          <xdr:colOff>403860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</xdr:row>
          <xdr:rowOff>175260</xdr:rowOff>
        </xdr:from>
        <xdr:to>
          <xdr:col>3</xdr:col>
          <xdr:colOff>182880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s/books/Base%20de%20da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nventario"/>
      <sheetName val="Clientes"/>
      <sheetName val="Correlativos"/>
      <sheetName val="Cajas"/>
    </sheetNames>
    <sheetDataSet>
      <sheetData sheetId="0"/>
      <sheetData sheetId="1"/>
      <sheetData sheetId="2"/>
      <sheetData sheetId="3">
        <row r="2">
          <cell r="F2" t="str">
            <v>PGO-CSN</v>
          </cell>
          <cell r="G2">
            <v>43913</v>
          </cell>
          <cell r="H2" t="str">
            <v>Alfonzo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Resources/books/Base%20de%20dato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Resources/books/Base%20de%20dato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Resources/books/Base%20de%20datos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olfo Marsili" refreshedDate="44939.618926736111" createdVersion="6" refreshedVersion="8" minRefreshableVersion="3" recordCount="39" xr:uid="{1A1345BC-45E4-4159-82EE-60DEA632F2DA}">
  <cacheSource type="worksheet">
    <worksheetSource name="Inventario" r:id="rId2"/>
  </cacheSource>
  <cacheFields count="11">
    <cacheField name="Codigo" numFmtId="1">
      <sharedItems containsSemiMixedTypes="0" containsString="0" containsNumber="1" containsInteger="1" minValue="1" maxValue="7898051680011"/>
    </cacheField>
    <cacheField name="Producto" numFmtId="0">
      <sharedItems/>
    </cacheField>
    <cacheField name="Presentacion por unidad" numFmtId="0">
      <sharedItems count="22">
        <s v="900 ml"/>
        <s v="1 kg"/>
        <s v="250 g"/>
        <s v="2.5 kg"/>
        <s v="1 caja"/>
        <s v="180 g"/>
        <s v="90 g"/>
        <s v="500 ml"/>
        <s v="500 g"/>
        <s v="15 g"/>
        <s v="300 g"/>
        <s v="50 kg"/>
        <s v="1 brazo"/>
        <s v="1 Jabon"/>
        <s v="85 g"/>
        <s v="400 g"/>
        <s v="15 kg"/>
        <s v="200 g"/>
        <s v="3 kg"/>
        <s v="5 kg"/>
        <s v="170 g"/>
        <s v="350 ml"/>
      </sharedItems>
    </cacheField>
    <cacheField name="Existencia" numFmtId="1">
      <sharedItems containsSemiMixedTypes="0" containsString="0" containsNumber="1" containsInteger="1" minValue="0" maxValue="313" count="16">
        <n v="0"/>
        <n v="1"/>
        <n v="168"/>
        <n v="121"/>
        <n v="10"/>
        <n v="38"/>
        <n v="313"/>
        <n v="8"/>
        <n v="92"/>
        <n v="52"/>
        <n v="2"/>
        <n v="20"/>
        <n v="48"/>
        <n v="138"/>
        <n v="44"/>
        <n v="5"/>
      </sharedItems>
    </cacheField>
    <cacheField name="Cantidad de unidades por bulto" numFmtId="1">
      <sharedItems containsSemiMixedTypes="0" containsString="0" containsNumber="1" containsInteger="1" minValue="1" maxValue="120" count="11">
        <n v="20"/>
        <n v="30"/>
        <n v="1"/>
        <n v="10"/>
        <n v="12"/>
        <n v="26"/>
        <n v="120"/>
        <n v="50"/>
        <n v="25"/>
        <n v="24"/>
        <n v="6"/>
      </sharedItems>
    </cacheField>
    <cacheField name="Costo por bulto (R$)" numFmtId="171">
      <sharedItems containsSemiMixedTypes="0" containsString="0" containsNumber="1" minValue="0" maxValue="270"/>
    </cacheField>
    <cacheField name="Costo" numFmtId="171">
      <sharedItems containsSemiMixedTypes="0" containsString="0" containsNumber="1" minValue="0" maxValue="100"/>
    </cacheField>
    <cacheField name="Precio por bulto ($)" numFmtId="0">
      <sharedItems containsSemiMixedTypes="0" containsString="0" containsNumber="1" minValue="0" maxValue="78" count="23">
        <n v="25.5"/>
        <n v="24.5"/>
        <n v="24.3"/>
        <n v="24"/>
        <n v="26.32"/>
        <n v="22.5"/>
        <n v="0"/>
        <n v="11"/>
        <n v="12.5"/>
        <n v="13.5"/>
        <n v="8.39"/>
        <n v="16.5"/>
        <n v="78"/>
        <n v="9.85"/>
        <n v="16"/>
        <n v="4.22"/>
        <n v="45"/>
        <n v="72.5"/>
        <n v="29"/>
        <n v="9"/>
        <n v="7.05"/>
        <n v="19.5"/>
        <n v="12"/>
      </sharedItems>
    </cacheField>
    <cacheField name="Precio" numFmtId="167">
      <sharedItems containsSemiMixedTypes="0" containsString="0" containsNumber="1" minValue="0" maxValue="29" count="29">
        <n v="1.2749999999999999"/>
        <n v="1.2250000000000001"/>
        <n v="0.81"/>
        <n v="0.8"/>
        <n v="0.8773333333333333"/>
        <n v="0.75"/>
        <n v="0"/>
        <n v="11"/>
        <n v="1.25"/>
        <n v="1.125"/>
        <n v="0.69916666666666671"/>
        <n v="0.63461538461538458"/>
        <n v="0.10416666666666667"/>
        <n v="2.6"/>
        <n v="0.98499999999999999"/>
        <n v="1.6"/>
        <n v="0.22"/>
        <n v="0.35166666666666663"/>
        <n v="1.8"/>
        <n v="3.625"/>
        <n v="0.52083333333333337"/>
        <n v="29"/>
        <n v="0.375"/>
        <n v="7.05"/>
        <n v="1.95"/>
        <n v="0.3"/>
        <n v="13.5"/>
        <n v="0.5625"/>
        <n v="2"/>
      </sharedItems>
    </cacheField>
    <cacheField name="Importe Costo" numFmtId="171">
      <sharedItems containsSemiMixedTypes="0" containsString="0" containsNumber="1" minValue="0" maxValue="496.8" count="19">
        <n v="0"/>
        <n v="3.1"/>
        <n v="481.6"/>
        <n v="346.86666666666667"/>
        <n v="45"/>
        <n v="155.70500000000001"/>
        <n v="83.307692307692321"/>
        <n v="117.375"/>
        <n v="72"/>
        <n v="27.2"/>
        <n v="496.8"/>
        <n v="50.57"/>
        <n v="14.64"/>
        <n v="250"/>
        <n v="15.666666666666666"/>
        <n v="100"/>
        <n v="189.75"/>
        <n v="95.333333333333329"/>
        <n v="37.5"/>
      </sharedItems>
    </cacheField>
    <cacheField name="Importe Precio" numFmtId="167">
      <sharedItems containsSemiMixedTypes="0" containsString="0" containsNumber="1" minValue="0" maxValue="147.20000000000002" count="19">
        <n v="0"/>
        <n v="0.81"/>
        <n v="126"/>
        <n v="90.75"/>
        <n v="12.5"/>
        <n v="42.75"/>
        <n v="24.115384615384613"/>
        <n v="32.604166666666671"/>
        <n v="20.8"/>
        <n v="7.88"/>
        <n v="147.20000000000002"/>
        <n v="18.286666666666665"/>
        <n v="3.6"/>
        <n v="72.5"/>
        <n v="4.166666666666667"/>
        <n v="25"/>
        <n v="51.75"/>
        <n v="24.75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olfo Marsili" refreshedDate="44939.618927314812" createdVersion="6" refreshedVersion="8" minRefreshableVersion="3" recordCount="9" xr:uid="{07025479-5101-4C23-84BB-E2AEEF48D54F}">
  <cacheSource type="worksheet">
    <worksheetSource name="Cajas" r:id="rId2"/>
  </cacheSource>
  <cacheFields count="4">
    <cacheField name="ID Responsable Caja" numFmtId="0">
      <sharedItems count="3">
        <s v="V-10553146"/>
        <s v="V-25081137"/>
        <s v="V-25017131"/>
      </sharedItems>
    </cacheField>
    <cacheField name="ID Caja" numFmtId="0">
      <sharedItems containsBlank="1" count="10">
        <s v="USD-CORINA"/>
        <s v="USD-DEIBYS"/>
        <s v="USD-RODOLFO"/>
        <s v="BRL-CORINA"/>
        <s v="BRL-DEIBYS"/>
        <s v="BRL-RODOLFO"/>
        <s v="VES-CORINA"/>
        <s v="VES-DEIBYS"/>
        <s v="VES-RODOLFO"/>
        <m u="1"/>
      </sharedItems>
    </cacheField>
    <cacheField name="Nombre" numFmtId="0">
      <sharedItems count="9">
        <s v="Dolares en efectivo en posesion de Corina"/>
        <s v="Dolares en efectivo en posesion de Deibys"/>
        <s v="Dolares en efectivo en posesion de Rodolfo"/>
        <s v="Reais en efectivo en posesion de Corina"/>
        <s v="Reais en efectivo en posesion de Deibys"/>
        <s v="Reais en efectivo en posesion de Rodolfo"/>
        <s v="Bolivares en transferencia en posesion de Corina"/>
        <s v="Bolivares en transferencia en posesion de Deibys"/>
        <s v="Bolivares en transferencia en posesion de Rodolfo"/>
      </sharedItems>
    </cacheField>
    <cacheField name="Saldo" numFmtId="0">
      <sharedItems containsSemiMixedTypes="0" containsString="0" containsNumber="1" minValue="0" maxValue="2402.0000762939453" count="4">
        <n v="0"/>
        <n v="1988.0168662926553"/>
        <n v="315"/>
        <n v="2402.000076293945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olfo Marsili" refreshedDate="44939.618928240743" createdVersion="6" refreshedVersion="8" minRefreshableVersion="3" recordCount="43" xr:uid="{72D0172C-8976-4912-91F1-329C7AB1972F}">
  <cacheSource type="worksheet">
    <worksheetSource name="Clientes" r:id="rId2"/>
  </cacheSource>
  <cacheFields count="13">
    <cacheField name="ID" numFmtId="0">
      <sharedItems/>
    </cacheField>
    <cacheField name="Nombre" numFmtId="0">
      <sharedItems containsBlank="1" count="49">
        <s v="Adriana"/>
        <s v="Alex Rodriguez"/>
        <s v="Alexander"/>
        <s v="Alexis"/>
        <s v="Alfonzo"/>
        <s v="Ander"/>
        <s v="Anibal"/>
        <s v="Audio Adrianza"/>
        <s v="Aurelia"/>
        <s v="Bodegon De Sire"/>
        <s v="Carlos Unare"/>
        <s v="Christian"/>
        <s v="Contado"/>
        <s v="Coraspe"/>
        <s v="Corina Bolivar"/>
        <s v="Darwin Figuera"/>
        <s v="Deibys Cardenas"/>
        <s v="El Toro Bravo"/>
        <s v="Enrique Bolivar"/>
        <s v="Gerardo"/>
        <s v="Glendys"/>
        <s v="Inversiones Piar"/>
        <s v="Javier"/>
        <s v="Jesus Rodriguez"/>
        <s v="Joao"/>
        <s v="La Granja"/>
        <s v="Luigi Marsili"/>
        <s v="Luis Viera"/>
        <s v="Mama de Deibys"/>
        <s v="Marilu"/>
        <s v="Mini Market Dana"/>
        <s v="Morhaima"/>
        <s v="Nancy"/>
        <s v="Nestor"/>
        <s v="Oscar"/>
        <s v="Osladys"/>
        <s v="Ricardo"/>
        <s v="Rodolfo Marsili"/>
        <s v="Ronald"/>
        <s v="Ronegdy Suarez"/>
        <s v="Ruber"/>
        <s v="Yan"/>
        <s v="Ydderf"/>
        <m u="1"/>
        <s v="Alfonso" u="1"/>
        <s v="Paquita la del barrio" u="1"/>
        <s v="Test 1" u="1"/>
        <s v="Luyo (Ameluco)" u="1"/>
        <s v="Test 2" u="1"/>
      </sharedItems>
    </cacheField>
    <cacheField name="Direccion" numFmtId="0">
      <sharedItems count="6">
        <s v="PZO"/>
        <s v="POZ"/>
        <s v="S/D"/>
        <s v="Upata"/>
        <s v="Chile"/>
        <s v="Las Claritas"/>
      </sharedItems>
    </cacheField>
    <cacheField name="Telefono" numFmtId="0">
      <sharedItems count="6">
        <s v="0000-0000000"/>
        <s v="0414-8692261"/>
        <s v="0424-9728609"/>
        <s v="0412-0879770"/>
        <s v="0414-8932216"/>
        <s v="0412-1120947"/>
      </sharedItems>
    </cacheField>
    <cacheField name="Credito" numFmtId="0">
      <sharedItems count="2">
        <b v="1"/>
        <b v="0"/>
      </sharedItems>
    </cacheField>
    <cacheField name="Consignacion" numFmtId="0">
      <sharedItems count="2">
        <b v="0"/>
        <b v="1"/>
      </sharedItems>
    </cacheField>
    <cacheField name="Limite Credito" numFmtId="166">
      <sharedItems containsSemiMixedTypes="0" containsString="0" containsNumber="1" containsInteger="1" minValue="0" maxValue="520" count="8">
        <n v="50"/>
        <n v="150"/>
        <n v="100"/>
        <n v="0"/>
        <n v="200"/>
        <n v="250"/>
        <n v="520"/>
        <n v="160"/>
      </sharedItems>
    </cacheField>
    <cacheField name="Saldo Credito" numFmtId="166">
      <sharedItems containsSemiMixedTypes="0" containsString="0" containsNumber="1" minValue="0" maxValue="93.159999815821649" count="12">
        <n v="0"/>
        <n v="18.680001602172865"/>
        <n v="68.75"/>
        <n v="11"/>
        <n v="93.159999815821649"/>
        <n v="3.85"/>
        <n v="3"/>
        <n v="40.72"/>
        <n v="60.319999694824219"/>
        <n v="62.5"/>
        <n v="91.52999967575073"/>
        <n v="0.72"/>
      </sharedItems>
    </cacheField>
    <cacheField name="Saldo Consignacion" numFmtId="0">
      <sharedItems containsSemiMixedTypes="0" containsString="0" containsNumber="1" minValue="0" maxValue="161.56038461538463" count="5">
        <n v="0"/>
        <n v="4.3491666666666671"/>
        <n v="84.890641025641017"/>
        <n v="161.56038461538463"/>
        <n v="0.70333333333333325"/>
      </sharedItems>
    </cacheField>
    <cacheField name="Prestamo $" numFmtId="172">
      <sharedItems containsSemiMixedTypes="0" containsString="0" containsNumber="1" containsInteger="1" minValue="-400" maxValue="0" count="2">
        <n v="0"/>
        <n v="-400"/>
      </sharedItems>
    </cacheField>
    <cacheField name="Prestamo R$" numFmtId="171">
      <sharedItems containsSemiMixedTypes="0" containsString="0" containsNumber="1" containsInteger="1" minValue="0" maxValue="95" count="2">
        <n v="0"/>
        <n v="95"/>
      </sharedItems>
    </cacheField>
    <cacheField name="Prestamo Bs" numFmtId="173">
      <sharedItems containsSemiMixedTypes="0" containsString="0" containsNumber="1" containsInteger="1" minValue="0" maxValue="0" count="1">
        <n v="0"/>
      </sharedItems>
    </cacheField>
    <cacheField name="Deuda Total" numFmtId="0">
      <sharedItems containsSemiMixedTypes="0" containsString="0" containsNumber="1" minValue="-400" maxValue="161.56038461538463" count="18">
        <n v="0"/>
        <n v="18.680001602172865"/>
        <n v="4.3491666666666671"/>
        <n v="84.890641025641017"/>
        <n v="161.56038461538463"/>
        <n v="68.75"/>
        <n v="11"/>
        <n v="21.111111111111111"/>
        <n v="93.159999815821649"/>
        <n v="3.85"/>
        <n v="-400"/>
        <n v="3"/>
        <n v="40.72"/>
        <n v="60.319999694824219"/>
        <n v="0.70333333333333325"/>
        <n v="62.5"/>
        <n v="91.52999967575073"/>
        <n v="0.7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n v="1"/>
    <s v="Aceite Concordia"/>
    <x v="0"/>
    <x v="0"/>
    <x v="0"/>
    <n v="97"/>
    <n v="4.8499999999999996"/>
    <x v="0"/>
    <x v="0"/>
    <x v="0"/>
    <x v="0"/>
  </r>
  <r>
    <n v="7891107101621"/>
    <s v="Aceite Soya (20x900ml)"/>
    <x v="0"/>
    <x v="0"/>
    <x v="0"/>
    <n v="94"/>
    <n v="4.7"/>
    <x v="1"/>
    <x v="1"/>
    <x v="0"/>
    <x v="0"/>
  </r>
  <r>
    <n v="2"/>
    <s v="Arroz Tipo 1 Blue Vale (30x1kg)"/>
    <x v="1"/>
    <x v="0"/>
    <x v="1"/>
    <n v="92"/>
    <n v="3.0666666666666669"/>
    <x v="2"/>
    <x v="2"/>
    <x v="0"/>
    <x v="0"/>
  </r>
  <r>
    <n v="3"/>
    <s v="Arroz Tipo 1 Faccio (30x1kg)"/>
    <x v="1"/>
    <x v="0"/>
    <x v="1"/>
    <n v="90"/>
    <n v="3"/>
    <x v="3"/>
    <x v="3"/>
    <x v="0"/>
    <x v="0"/>
  </r>
  <r>
    <n v="4"/>
    <s v="Arroz Tipo 1 Fazenda (30x1kg)"/>
    <x v="1"/>
    <x v="1"/>
    <x v="1"/>
    <n v="93"/>
    <n v="3.1"/>
    <x v="2"/>
    <x v="2"/>
    <x v="1"/>
    <x v="1"/>
  </r>
  <r>
    <n v="5"/>
    <s v="Arroz Tipo 1 Tio Ivo (30x1kg)"/>
    <x v="1"/>
    <x v="0"/>
    <x v="1"/>
    <n v="95"/>
    <n v="3.1666666666666665"/>
    <x v="4"/>
    <x v="4"/>
    <x v="0"/>
    <x v="0"/>
  </r>
  <r>
    <n v="6"/>
    <s v="Azucar Doce Dia (30x1kg)"/>
    <x v="1"/>
    <x v="2"/>
    <x v="1"/>
    <n v="86"/>
    <n v="2.8666666666666667"/>
    <x v="5"/>
    <x v="5"/>
    <x v="2"/>
    <x v="2"/>
  </r>
  <r>
    <n v="7898051680011"/>
    <s v="Azucar Itajá (30x1kg)"/>
    <x v="1"/>
    <x v="3"/>
    <x v="1"/>
    <n v="86"/>
    <n v="2.8666666666666667"/>
    <x v="5"/>
    <x v="5"/>
    <x v="3"/>
    <x v="3"/>
  </r>
  <r>
    <n v="7"/>
    <s v="Cafe Marata (20x250g)"/>
    <x v="2"/>
    <x v="0"/>
    <x v="0"/>
    <n v="0"/>
    <n v="0"/>
    <x v="6"/>
    <x v="6"/>
    <x v="0"/>
    <x v="0"/>
  </r>
  <r>
    <n v="8"/>
    <s v="Calabresa Carré (1x2,5kg)"/>
    <x v="3"/>
    <x v="0"/>
    <x v="2"/>
    <n v="35"/>
    <n v="35"/>
    <x v="7"/>
    <x v="7"/>
    <x v="0"/>
    <x v="0"/>
  </r>
  <r>
    <n v="32"/>
    <s v="Calabresa Seara (1x2.5kg)"/>
    <x v="3"/>
    <x v="0"/>
    <x v="2"/>
    <n v="40"/>
    <n v="40"/>
    <x v="7"/>
    <x v="7"/>
    <x v="0"/>
    <x v="0"/>
  </r>
  <r>
    <n v="7842308000022"/>
    <s v="Cigarros Zen (10x20 unidades)"/>
    <x v="4"/>
    <x v="4"/>
    <x v="3"/>
    <n v="45"/>
    <n v="4.5"/>
    <x v="8"/>
    <x v="8"/>
    <x v="4"/>
    <x v="4"/>
  </r>
  <r>
    <n v="9"/>
    <s v="Colgate (12x180g)"/>
    <x v="5"/>
    <x v="5"/>
    <x v="4"/>
    <n v="49.17"/>
    <n v="4.0975000000000001"/>
    <x v="9"/>
    <x v="9"/>
    <x v="5"/>
    <x v="5"/>
  </r>
  <r>
    <n v="10"/>
    <s v="Colgate (12x90g)"/>
    <x v="6"/>
    <x v="0"/>
    <x v="4"/>
    <n v="30"/>
    <n v="2.5"/>
    <x v="10"/>
    <x v="10"/>
    <x v="0"/>
    <x v="0"/>
  </r>
  <r>
    <n v="7896547501277"/>
    <s v="Corote Blueberry (12x500ml)"/>
    <x v="7"/>
    <x v="0"/>
    <x v="4"/>
    <n v="44"/>
    <n v="3.6666666666666665"/>
    <x v="9"/>
    <x v="9"/>
    <x v="0"/>
    <x v="0"/>
  </r>
  <r>
    <n v="31"/>
    <s v="Corote Limon (12x500ml)"/>
    <x v="7"/>
    <x v="0"/>
    <x v="4"/>
    <n v="44"/>
    <n v="3.6666666666666665"/>
    <x v="9"/>
    <x v="9"/>
    <x v="0"/>
    <x v="0"/>
  </r>
  <r>
    <n v="11"/>
    <s v="Detergente en Polvo Ben-Te-Vi (26x500g)"/>
    <x v="8"/>
    <x v="5"/>
    <x v="5"/>
    <n v="57"/>
    <n v="2.1923076923076925"/>
    <x v="11"/>
    <x v="11"/>
    <x v="6"/>
    <x v="6"/>
  </r>
  <r>
    <n v="12"/>
    <s v="Fructus (8x15 sobres)"/>
    <x v="9"/>
    <x v="6"/>
    <x v="6"/>
    <n v="45"/>
    <n v="0.375"/>
    <x v="8"/>
    <x v="12"/>
    <x v="7"/>
    <x v="7"/>
  </r>
  <r>
    <n v="13"/>
    <s v="Garoto (30x300g)"/>
    <x v="10"/>
    <x v="7"/>
    <x v="1"/>
    <n v="270"/>
    <n v="9"/>
    <x v="12"/>
    <x v="13"/>
    <x v="8"/>
    <x v="8"/>
  </r>
  <r>
    <n v="14"/>
    <s v="Harina de Trigo Dona Maria (10x1kg)"/>
    <x v="1"/>
    <x v="7"/>
    <x v="3"/>
    <n v="34"/>
    <n v="3.4"/>
    <x v="13"/>
    <x v="14"/>
    <x v="9"/>
    <x v="9"/>
  </r>
  <r>
    <n v="15"/>
    <s v="Harina de Trigo Dona Maria Panadera (50kg)"/>
    <x v="11"/>
    <x v="0"/>
    <x v="2"/>
    <n v="0"/>
    <n v="0"/>
    <x v="6"/>
    <x v="6"/>
    <x v="0"/>
    <x v="0"/>
  </r>
  <r>
    <n v="16"/>
    <s v="Jabon Flamengo (10x1kg)"/>
    <x v="12"/>
    <x v="8"/>
    <x v="3"/>
    <n v="54"/>
    <n v="5.4"/>
    <x v="14"/>
    <x v="15"/>
    <x v="10"/>
    <x v="10"/>
  </r>
  <r>
    <n v="29"/>
    <s v="Jabon Jamary"/>
    <x v="13"/>
    <x v="0"/>
    <x v="7"/>
    <n v="50"/>
    <n v="1"/>
    <x v="7"/>
    <x v="16"/>
    <x v="0"/>
    <x v="0"/>
  </r>
  <r>
    <n v="17"/>
    <s v="Jabon Palmolive (12x85g)"/>
    <x v="14"/>
    <x v="9"/>
    <x v="4"/>
    <n v="11.67"/>
    <n v="0.97250000000000003"/>
    <x v="15"/>
    <x v="17"/>
    <x v="11"/>
    <x v="11"/>
  </r>
  <r>
    <n v="18"/>
    <s v="Leche en Polvo Do Bom (25x400g)"/>
    <x v="15"/>
    <x v="10"/>
    <x v="8"/>
    <n v="183"/>
    <n v="7.32"/>
    <x v="16"/>
    <x v="18"/>
    <x v="12"/>
    <x v="12"/>
  </r>
  <r>
    <n v="19"/>
    <s v="Levadura Mauri (20x500g)"/>
    <x v="8"/>
    <x v="11"/>
    <x v="0"/>
    <n v="250"/>
    <n v="12.5"/>
    <x v="17"/>
    <x v="19"/>
    <x v="13"/>
    <x v="13"/>
  </r>
  <r>
    <n v="20"/>
    <s v="Mantequilla Deline (24x250g)"/>
    <x v="2"/>
    <x v="7"/>
    <x v="9"/>
    <n v="47"/>
    <n v="1.9583333333333333"/>
    <x v="8"/>
    <x v="20"/>
    <x v="14"/>
    <x v="14"/>
  </r>
  <r>
    <n v="30"/>
    <s v="Mantequilla Medalha De Ouro (1x15kg)"/>
    <x v="16"/>
    <x v="0"/>
    <x v="2"/>
    <n v="100"/>
    <n v="100"/>
    <x v="18"/>
    <x v="21"/>
    <x v="0"/>
    <x v="0"/>
  </r>
  <r>
    <n v="21"/>
    <s v="Mantequilla Primor (24x250g)"/>
    <x v="2"/>
    <x v="12"/>
    <x v="9"/>
    <n v="50"/>
    <n v="2.0833333333333335"/>
    <x v="8"/>
    <x v="20"/>
    <x v="15"/>
    <x v="15"/>
  </r>
  <r>
    <n v="7896102509434"/>
    <s v="Mayonesa Quero (24x200g)"/>
    <x v="17"/>
    <x v="13"/>
    <x v="9"/>
    <n v="33"/>
    <n v="1.375"/>
    <x v="19"/>
    <x v="22"/>
    <x v="16"/>
    <x v="16"/>
  </r>
  <r>
    <n v="22"/>
    <s v="Mortadela de Carne Carré (1x3kg)"/>
    <x v="18"/>
    <x v="0"/>
    <x v="2"/>
    <n v="25"/>
    <n v="25"/>
    <x v="20"/>
    <x v="23"/>
    <x v="0"/>
    <x v="0"/>
  </r>
  <r>
    <n v="23"/>
    <s v="Mortadela de Pollo Aurora (1x2,5)"/>
    <x v="3"/>
    <x v="0"/>
    <x v="2"/>
    <n v="25"/>
    <n v="25"/>
    <x v="20"/>
    <x v="23"/>
    <x v="0"/>
    <x v="0"/>
  </r>
  <r>
    <n v="24"/>
    <s v="Mortadela de Pollo Carré (1x3kg)"/>
    <x v="18"/>
    <x v="0"/>
    <x v="2"/>
    <n v="25"/>
    <n v="25"/>
    <x v="20"/>
    <x v="23"/>
    <x v="0"/>
    <x v="0"/>
  </r>
  <r>
    <n v="25"/>
    <s v="Mortadela de Pollo Millennium (10x500g)"/>
    <x v="8"/>
    <x v="0"/>
    <x v="3"/>
    <n v="70"/>
    <n v="7"/>
    <x v="21"/>
    <x v="24"/>
    <x v="0"/>
    <x v="0"/>
  </r>
  <r>
    <n v="26"/>
    <s v="Sal (30x1kg)"/>
    <x v="1"/>
    <x v="0"/>
    <x v="1"/>
    <n v="31"/>
    <n v="1.0333333333333334"/>
    <x v="19"/>
    <x v="25"/>
    <x v="0"/>
    <x v="0"/>
  </r>
  <r>
    <n v="27"/>
    <s v="Salchicha Hot Dog Perdigao (1x5kg)"/>
    <x v="19"/>
    <x v="0"/>
    <x v="2"/>
    <n v="42"/>
    <n v="42"/>
    <x v="9"/>
    <x v="26"/>
    <x v="0"/>
    <x v="0"/>
  </r>
  <r>
    <n v="34"/>
    <s v="Salchichas Hot Dog Rezende (1x5kg)"/>
    <x v="19"/>
    <x v="0"/>
    <x v="2"/>
    <n v="37.5"/>
    <n v="37.5"/>
    <x v="7"/>
    <x v="7"/>
    <x v="0"/>
    <x v="0"/>
  </r>
  <r>
    <n v="28"/>
    <s v="Sardina Marbonita (24x170g)"/>
    <x v="20"/>
    <x v="14"/>
    <x v="9"/>
    <n v="52"/>
    <n v="2.1666666666666665"/>
    <x v="9"/>
    <x v="27"/>
    <x v="17"/>
    <x v="17"/>
  </r>
  <r>
    <n v="35"/>
    <s v="Shampoo Sin Sal Palmolive Neutro (6x350ml)"/>
    <x v="21"/>
    <x v="15"/>
    <x v="10"/>
    <n v="45"/>
    <n v="7.5"/>
    <x v="22"/>
    <x v="28"/>
    <x v="18"/>
    <x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</r>
  <r>
    <x v="1"/>
    <x v="1"/>
    <x v="1"/>
    <x v="1"/>
  </r>
  <r>
    <x v="2"/>
    <x v="2"/>
    <x v="2"/>
    <x v="2"/>
  </r>
  <r>
    <x v="0"/>
    <x v="3"/>
    <x v="3"/>
    <x v="0"/>
  </r>
  <r>
    <x v="1"/>
    <x v="4"/>
    <x v="4"/>
    <x v="0"/>
  </r>
  <r>
    <x v="2"/>
    <x v="5"/>
    <x v="5"/>
    <x v="3"/>
  </r>
  <r>
    <x v="0"/>
    <x v="6"/>
    <x v="6"/>
    <x v="0"/>
  </r>
  <r>
    <x v="1"/>
    <x v="7"/>
    <x v="7"/>
    <x v="0"/>
  </r>
  <r>
    <x v="2"/>
    <x v="8"/>
    <x v="8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V-10000029"/>
    <x v="0"/>
    <x v="0"/>
    <x v="0"/>
    <x v="0"/>
    <x v="0"/>
    <x v="0"/>
    <x v="0"/>
    <x v="0"/>
    <x v="0"/>
    <x v="0"/>
    <x v="0"/>
    <x v="0"/>
  </r>
  <r>
    <s v="V-10000003"/>
    <x v="1"/>
    <x v="0"/>
    <x v="0"/>
    <x v="0"/>
    <x v="0"/>
    <x v="1"/>
    <x v="1"/>
    <x v="0"/>
    <x v="0"/>
    <x v="0"/>
    <x v="0"/>
    <x v="1"/>
  </r>
  <r>
    <s v="V-10000013"/>
    <x v="2"/>
    <x v="0"/>
    <x v="0"/>
    <x v="0"/>
    <x v="1"/>
    <x v="2"/>
    <x v="0"/>
    <x v="1"/>
    <x v="0"/>
    <x v="0"/>
    <x v="0"/>
    <x v="2"/>
  </r>
  <r>
    <s v="V-10000017"/>
    <x v="3"/>
    <x v="0"/>
    <x v="0"/>
    <x v="1"/>
    <x v="0"/>
    <x v="3"/>
    <x v="0"/>
    <x v="0"/>
    <x v="0"/>
    <x v="0"/>
    <x v="0"/>
    <x v="0"/>
  </r>
  <r>
    <s v="V-10000011"/>
    <x v="4"/>
    <x v="0"/>
    <x v="0"/>
    <x v="1"/>
    <x v="1"/>
    <x v="3"/>
    <x v="0"/>
    <x v="2"/>
    <x v="0"/>
    <x v="0"/>
    <x v="0"/>
    <x v="3"/>
  </r>
  <r>
    <s v="V-10000022"/>
    <x v="5"/>
    <x v="0"/>
    <x v="0"/>
    <x v="1"/>
    <x v="0"/>
    <x v="3"/>
    <x v="0"/>
    <x v="0"/>
    <x v="0"/>
    <x v="0"/>
    <x v="0"/>
    <x v="0"/>
  </r>
  <r>
    <s v="V-10000036"/>
    <x v="6"/>
    <x v="1"/>
    <x v="0"/>
    <x v="1"/>
    <x v="0"/>
    <x v="3"/>
    <x v="0"/>
    <x v="0"/>
    <x v="0"/>
    <x v="0"/>
    <x v="0"/>
    <x v="0"/>
  </r>
  <r>
    <s v="V-10000015"/>
    <x v="7"/>
    <x v="0"/>
    <x v="0"/>
    <x v="0"/>
    <x v="1"/>
    <x v="1"/>
    <x v="0"/>
    <x v="0"/>
    <x v="0"/>
    <x v="0"/>
    <x v="0"/>
    <x v="0"/>
  </r>
  <r>
    <s v="V-10000033"/>
    <x v="8"/>
    <x v="1"/>
    <x v="0"/>
    <x v="0"/>
    <x v="1"/>
    <x v="2"/>
    <x v="0"/>
    <x v="3"/>
    <x v="0"/>
    <x v="0"/>
    <x v="0"/>
    <x v="4"/>
  </r>
  <r>
    <s v="J-100000001"/>
    <x v="9"/>
    <x v="1"/>
    <x v="0"/>
    <x v="0"/>
    <x v="1"/>
    <x v="2"/>
    <x v="2"/>
    <x v="0"/>
    <x v="0"/>
    <x v="0"/>
    <x v="0"/>
    <x v="5"/>
  </r>
  <r>
    <s v="V-10000004"/>
    <x v="10"/>
    <x v="0"/>
    <x v="0"/>
    <x v="0"/>
    <x v="0"/>
    <x v="4"/>
    <x v="3"/>
    <x v="0"/>
    <x v="0"/>
    <x v="0"/>
    <x v="0"/>
    <x v="6"/>
  </r>
  <r>
    <s v="V-10000018"/>
    <x v="11"/>
    <x v="0"/>
    <x v="0"/>
    <x v="1"/>
    <x v="0"/>
    <x v="3"/>
    <x v="0"/>
    <x v="0"/>
    <x v="0"/>
    <x v="0"/>
    <x v="0"/>
    <x v="0"/>
  </r>
  <r>
    <s v="V-00000000"/>
    <x v="12"/>
    <x v="2"/>
    <x v="0"/>
    <x v="1"/>
    <x v="0"/>
    <x v="3"/>
    <x v="0"/>
    <x v="0"/>
    <x v="0"/>
    <x v="0"/>
    <x v="0"/>
    <x v="0"/>
  </r>
  <r>
    <s v="V-10000038"/>
    <x v="13"/>
    <x v="1"/>
    <x v="0"/>
    <x v="1"/>
    <x v="0"/>
    <x v="3"/>
    <x v="0"/>
    <x v="0"/>
    <x v="0"/>
    <x v="0"/>
    <x v="0"/>
    <x v="0"/>
  </r>
  <r>
    <s v="V-10553146"/>
    <x v="14"/>
    <x v="3"/>
    <x v="1"/>
    <x v="0"/>
    <x v="1"/>
    <x v="2"/>
    <x v="0"/>
    <x v="0"/>
    <x v="0"/>
    <x v="0"/>
    <x v="0"/>
    <x v="0"/>
  </r>
  <r>
    <s v="V-10000028"/>
    <x v="15"/>
    <x v="3"/>
    <x v="2"/>
    <x v="0"/>
    <x v="0"/>
    <x v="0"/>
    <x v="0"/>
    <x v="0"/>
    <x v="0"/>
    <x v="1"/>
    <x v="0"/>
    <x v="7"/>
  </r>
  <r>
    <s v="V-10000010"/>
    <x v="16"/>
    <x v="0"/>
    <x v="3"/>
    <x v="0"/>
    <x v="1"/>
    <x v="2"/>
    <x v="4"/>
    <x v="0"/>
    <x v="0"/>
    <x v="0"/>
    <x v="0"/>
    <x v="8"/>
  </r>
  <r>
    <s v="V-10000006"/>
    <x v="17"/>
    <x v="0"/>
    <x v="0"/>
    <x v="0"/>
    <x v="0"/>
    <x v="5"/>
    <x v="5"/>
    <x v="0"/>
    <x v="0"/>
    <x v="0"/>
    <x v="0"/>
    <x v="9"/>
  </r>
  <r>
    <s v="V-10000027"/>
    <x v="18"/>
    <x v="3"/>
    <x v="0"/>
    <x v="0"/>
    <x v="0"/>
    <x v="2"/>
    <x v="0"/>
    <x v="0"/>
    <x v="1"/>
    <x v="0"/>
    <x v="0"/>
    <x v="10"/>
  </r>
  <r>
    <s v="V-10000014"/>
    <x v="19"/>
    <x v="0"/>
    <x v="0"/>
    <x v="0"/>
    <x v="1"/>
    <x v="0"/>
    <x v="0"/>
    <x v="0"/>
    <x v="0"/>
    <x v="0"/>
    <x v="0"/>
    <x v="0"/>
  </r>
  <r>
    <s v="V-10000001"/>
    <x v="20"/>
    <x v="0"/>
    <x v="0"/>
    <x v="0"/>
    <x v="0"/>
    <x v="3"/>
    <x v="0"/>
    <x v="0"/>
    <x v="0"/>
    <x v="0"/>
    <x v="0"/>
    <x v="0"/>
  </r>
  <r>
    <s v="V-10000021"/>
    <x v="21"/>
    <x v="0"/>
    <x v="0"/>
    <x v="1"/>
    <x v="0"/>
    <x v="3"/>
    <x v="0"/>
    <x v="0"/>
    <x v="0"/>
    <x v="0"/>
    <x v="0"/>
    <x v="0"/>
  </r>
  <r>
    <s v="V-10000035"/>
    <x v="22"/>
    <x v="1"/>
    <x v="0"/>
    <x v="1"/>
    <x v="0"/>
    <x v="3"/>
    <x v="0"/>
    <x v="0"/>
    <x v="0"/>
    <x v="0"/>
    <x v="0"/>
    <x v="0"/>
  </r>
  <r>
    <s v="V-10000030"/>
    <x v="23"/>
    <x v="0"/>
    <x v="0"/>
    <x v="1"/>
    <x v="0"/>
    <x v="3"/>
    <x v="0"/>
    <x v="0"/>
    <x v="0"/>
    <x v="0"/>
    <x v="0"/>
    <x v="0"/>
  </r>
  <r>
    <s v="V-10000032"/>
    <x v="24"/>
    <x v="0"/>
    <x v="0"/>
    <x v="1"/>
    <x v="0"/>
    <x v="3"/>
    <x v="0"/>
    <x v="0"/>
    <x v="0"/>
    <x v="0"/>
    <x v="0"/>
    <x v="0"/>
  </r>
  <r>
    <s v="V-10000023"/>
    <x v="25"/>
    <x v="0"/>
    <x v="0"/>
    <x v="1"/>
    <x v="0"/>
    <x v="3"/>
    <x v="0"/>
    <x v="0"/>
    <x v="0"/>
    <x v="0"/>
    <x v="0"/>
    <x v="0"/>
  </r>
  <r>
    <s v="V-10000037"/>
    <x v="26"/>
    <x v="4"/>
    <x v="0"/>
    <x v="0"/>
    <x v="0"/>
    <x v="2"/>
    <x v="0"/>
    <x v="0"/>
    <x v="0"/>
    <x v="0"/>
    <x v="0"/>
    <x v="0"/>
  </r>
  <r>
    <s v="V-10000008"/>
    <x v="27"/>
    <x v="0"/>
    <x v="0"/>
    <x v="0"/>
    <x v="0"/>
    <x v="0"/>
    <x v="6"/>
    <x v="0"/>
    <x v="0"/>
    <x v="0"/>
    <x v="0"/>
    <x v="11"/>
  </r>
  <r>
    <s v="V-10000009"/>
    <x v="28"/>
    <x v="0"/>
    <x v="0"/>
    <x v="0"/>
    <x v="0"/>
    <x v="2"/>
    <x v="7"/>
    <x v="0"/>
    <x v="0"/>
    <x v="0"/>
    <x v="0"/>
    <x v="12"/>
  </r>
  <r>
    <s v="V-10000034"/>
    <x v="29"/>
    <x v="5"/>
    <x v="0"/>
    <x v="0"/>
    <x v="0"/>
    <x v="2"/>
    <x v="8"/>
    <x v="0"/>
    <x v="0"/>
    <x v="0"/>
    <x v="0"/>
    <x v="13"/>
  </r>
  <r>
    <s v="V-10000005"/>
    <x v="30"/>
    <x v="0"/>
    <x v="0"/>
    <x v="0"/>
    <x v="0"/>
    <x v="5"/>
    <x v="0"/>
    <x v="0"/>
    <x v="0"/>
    <x v="0"/>
    <x v="0"/>
    <x v="0"/>
  </r>
  <r>
    <s v="V-10000024"/>
    <x v="31"/>
    <x v="0"/>
    <x v="0"/>
    <x v="1"/>
    <x v="0"/>
    <x v="3"/>
    <x v="0"/>
    <x v="0"/>
    <x v="0"/>
    <x v="0"/>
    <x v="0"/>
    <x v="0"/>
  </r>
  <r>
    <s v="V-10000012"/>
    <x v="32"/>
    <x v="0"/>
    <x v="0"/>
    <x v="1"/>
    <x v="1"/>
    <x v="3"/>
    <x v="0"/>
    <x v="4"/>
    <x v="0"/>
    <x v="0"/>
    <x v="0"/>
    <x v="14"/>
  </r>
  <r>
    <s v="V-10000002"/>
    <x v="33"/>
    <x v="0"/>
    <x v="0"/>
    <x v="0"/>
    <x v="0"/>
    <x v="6"/>
    <x v="9"/>
    <x v="0"/>
    <x v="0"/>
    <x v="0"/>
    <x v="0"/>
    <x v="15"/>
  </r>
  <r>
    <s v="V-10000025"/>
    <x v="34"/>
    <x v="0"/>
    <x v="0"/>
    <x v="1"/>
    <x v="0"/>
    <x v="3"/>
    <x v="0"/>
    <x v="0"/>
    <x v="0"/>
    <x v="0"/>
    <x v="0"/>
    <x v="0"/>
  </r>
  <r>
    <s v="V-10000016"/>
    <x v="35"/>
    <x v="0"/>
    <x v="0"/>
    <x v="1"/>
    <x v="0"/>
    <x v="3"/>
    <x v="0"/>
    <x v="0"/>
    <x v="0"/>
    <x v="0"/>
    <x v="0"/>
    <x v="0"/>
  </r>
  <r>
    <s v="V-10000020"/>
    <x v="36"/>
    <x v="0"/>
    <x v="0"/>
    <x v="1"/>
    <x v="0"/>
    <x v="3"/>
    <x v="0"/>
    <x v="0"/>
    <x v="0"/>
    <x v="0"/>
    <x v="0"/>
    <x v="0"/>
  </r>
  <r>
    <s v="V-25017131"/>
    <x v="37"/>
    <x v="0"/>
    <x v="4"/>
    <x v="0"/>
    <x v="1"/>
    <x v="2"/>
    <x v="10"/>
    <x v="0"/>
    <x v="0"/>
    <x v="0"/>
    <x v="0"/>
    <x v="16"/>
  </r>
  <r>
    <s v="V-10000031"/>
    <x v="38"/>
    <x v="0"/>
    <x v="0"/>
    <x v="1"/>
    <x v="0"/>
    <x v="3"/>
    <x v="0"/>
    <x v="0"/>
    <x v="0"/>
    <x v="0"/>
    <x v="0"/>
    <x v="0"/>
  </r>
  <r>
    <s v="V-22818980"/>
    <x v="39"/>
    <x v="0"/>
    <x v="5"/>
    <x v="0"/>
    <x v="0"/>
    <x v="2"/>
    <x v="0"/>
    <x v="0"/>
    <x v="0"/>
    <x v="0"/>
    <x v="0"/>
    <x v="0"/>
  </r>
  <r>
    <s v="V-10000007"/>
    <x v="40"/>
    <x v="0"/>
    <x v="0"/>
    <x v="0"/>
    <x v="0"/>
    <x v="7"/>
    <x v="0"/>
    <x v="0"/>
    <x v="0"/>
    <x v="0"/>
    <x v="0"/>
    <x v="0"/>
  </r>
  <r>
    <s v="V-10000019"/>
    <x v="41"/>
    <x v="0"/>
    <x v="0"/>
    <x v="0"/>
    <x v="0"/>
    <x v="0"/>
    <x v="11"/>
    <x v="0"/>
    <x v="0"/>
    <x v="0"/>
    <x v="0"/>
    <x v="17"/>
  </r>
  <r>
    <s v="V-10000026"/>
    <x v="42"/>
    <x v="3"/>
    <x v="0"/>
    <x v="0"/>
    <x v="0"/>
    <x v="2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30E9F4-B859-4574-AC12-396CA024AEC3}" name="Clientes" cacheId="12" applyNumberFormats="0" applyBorderFormats="0" applyFontFormats="0" applyPatternFormats="0" applyAlignmentFormats="0" applyWidthHeightFormats="1" dataCaption="Valores" grandTotalCaption=" " updatedVersion="8" minRefreshableVersion="3" useAutoFormatting="1" itemPrintTitles="1" createdVersion="6" indent="0" outline="1" outlineData="1" multipleFieldFilters="0" rowHeaderCaption="Cliente">
  <location ref="B5:H22" firstHeaderRow="0" firstDataRow="1" firstDataCol="1"/>
  <pivotFields count="13">
    <pivotField showAll="0"/>
    <pivotField axis="axisRow" showAll="0" measureFilter="1">
      <items count="50">
        <item x="12"/>
        <item x="14"/>
        <item x="37"/>
        <item x="39"/>
        <item m="1" x="43"/>
        <item m="1" x="46"/>
        <item m="1" x="48"/>
        <item x="1"/>
        <item x="2"/>
        <item x="4"/>
        <item x="7"/>
        <item x="10"/>
        <item x="16"/>
        <item x="17"/>
        <item x="19"/>
        <item x="20"/>
        <item x="27"/>
        <item x="28"/>
        <item x="30"/>
        <item x="32"/>
        <item x="33"/>
        <item x="40"/>
        <item x="3"/>
        <item x="5"/>
        <item x="11"/>
        <item x="21"/>
        <item x="25"/>
        <item x="31"/>
        <item x="34"/>
        <item x="35"/>
        <item x="36"/>
        <item x="41"/>
        <item x="15"/>
        <item x="18"/>
        <item x="42"/>
        <item m="1" x="47"/>
        <item m="1" x="44"/>
        <item x="0"/>
        <item x="23"/>
        <item x="38"/>
        <item x="24"/>
        <item m="1" x="45"/>
        <item x="8"/>
        <item x="29"/>
        <item x="22"/>
        <item x="6"/>
        <item x="9"/>
        <item x="26"/>
        <item x="13"/>
        <item t="default"/>
      </items>
    </pivotField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dataField="1" showAll="0"/>
    <pivotField dataField="1" showAll="0"/>
    <pivotField dataField="1" showAll="0"/>
    <pivotField dataField="1" numFmtId="166" showAll="0"/>
  </pivotFields>
  <rowFields count="1">
    <field x="1"/>
  </rowFields>
  <rowItems count="17">
    <i>
      <x v="2"/>
    </i>
    <i>
      <x v="7"/>
    </i>
    <i>
      <x v="8"/>
    </i>
    <i>
      <x v="9"/>
    </i>
    <i>
      <x v="11"/>
    </i>
    <i>
      <x v="12"/>
    </i>
    <i>
      <x v="13"/>
    </i>
    <i>
      <x v="16"/>
    </i>
    <i>
      <x v="17"/>
    </i>
    <i>
      <x v="19"/>
    </i>
    <i>
      <x v="20"/>
    </i>
    <i>
      <x v="31"/>
    </i>
    <i>
      <x v="32"/>
    </i>
    <i>
      <x v="42"/>
    </i>
    <i>
      <x v="43"/>
    </i>
    <i>
      <x v="4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reditos " fld="7" baseField="1" baseItem="2" numFmtId="44"/>
    <dataField name="Consignaciones" fld="8" baseField="0" baseItem="0" numFmtId="170"/>
    <dataField name="Prestamos $" fld="9" baseField="0" baseItem="0" numFmtId="170"/>
    <dataField name="Prestamos R$" fld="10" baseField="0" baseItem="0" numFmtId="164"/>
    <dataField name="Prestamos Bs" fld="11" baseField="0" baseItem="0" numFmtId="169"/>
    <dataField name="Deuda" fld="12" baseField="0" baseItem="0" numFmtId="44"/>
  </dataFields>
  <formats count="28">
    <format dxfId="33">
      <pivotArea outline="0" fieldPosition="0">
        <references count="1">
          <reference field="4294967294" count="1">
            <x v="0"/>
          </reference>
        </references>
      </pivotArea>
    </format>
    <format dxfId="32">
      <pivotArea field="1" type="button" dataOnly="0" labelOnly="1" outline="0" axis="axisRow" fieldPosition="0"/>
    </format>
    <format dxfId="31">
      <pivotArea dataOnly="0" labelOnly="1" outline="0" axis="axisValues" fieldPosition="0"/>
    </format>
    <format dxfId="30">
      <pivotArea field="1" type="button" dataOnly="0" labelOnly="1" outline="0" axis="axisRow" fieldPosition="0"/>
    </format>
    <format dxfId="29">
      <pivotArea dataOnly="0" labelOnly="1" outline="0" axis="axisValues" fieldPosition="0"/>
    </format>
    <format dxfId="2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1"/>
          </reference>
          <reference field="1" count="1">
            <x v="2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22">
      <pivotArea dataOnly="0" labelOnly="1" grandRow="1" outline="0" fieldPosition="0"/>
    </format>
    <format dxfId="21">
      <pivotArea field="1" type="button" dataOnly="0" labelOnly="1" outline="0" axis="axisRow" fieldPosition="0"/>
    </format>
    <format dxfId="20">
      <pivotArea field="1" type="button" dataOnly="0" labelOnly="1" outline="0" axis="axisRow" fieldPosition="0"/>
    </format>
    <format dxfId="1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3"/>
          </reference>
          <reference field="1" count="1">
            <x v="1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3"/>
          </reference>
          <reference field="1" count="1">
            <x v="2"/>
          </reference>
        </references>
      </pivotArea>
    </format>
    <format dxfId="6">
      <pivotArea field="1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Medium1" showRowHeaders="1" showColHeaders="1" showRowStripes="0" showColStripes="0" showLastColumn="1"/>
  <filters count="1">
    <filter fld="1" type="valueGreaterThan" evalOrder="-1" id="7" iMeasureFld="5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AC3658-105D-4608-AE2A-20C4F689BD75}" name="Cajas Bs" cacheId="9" applyNumberFormats="0" applyBorderFormats="0" applyFontFormats="0" applyPatternFormats="0" applyAlignmentFormats="0" applyWidthHeightFormats="1" dataCaption="Valores" grandTotalCaption=" " updatedVersion="8" minRefreshableVersion="3" useAutoFormatting="1" itemPrintTitles="1" createdVersion="6" indent="0" outline="1" outlineData="1" multipleFieldFilters="0" rowHeaderCaption="Cajas Bs.S">
  <location ref="J17:K21" firstHeaderRow="1" firstDataRow="1" firstDataCol="1"/>
  <pivotFields count="4">
    <pivotField showAll="0"/>
    <pivotField axis="axisRow" multipleItemSelectionAllowed="1" showAll="0">
      <items count="11">
        <item h="1" x="3"/>
        <item h="1" x="4"/>
        <item h="1" x="5"/>
        <item h="1" x="0"/>
        <item h="1" x="1"/>
        <item h="1" x="2"/>
        <item x="6"/>
        <item x="7"/>
        <item x="8"/>
        <item h="1" m="1" x="9"/>
        <item t="default"/>
      </items>
    </pivotField>
    <pivotField showAll="0"/>
    <pivotField dataField="1" showAll="0"/>
  </pivotFields>
  <rowFields count="1">
    <field x="1"/>
  </rowFields>
  <rowItems count="4">
    <i>
      <x v="6"/>
    </i>
    <i>
      <x v="7"/>
    </i>
    <i>
      <x v="8"/>
    </i>
    <i t="grand">
      <x/>
    </i>
  </rowItems>
  <colItems count="1">
    <i/>
  </colItems>
  <dataFields count="1">
    <dataField name="Saldo Caja" fld="3" baseField="0" baseItem="0"/>
  </dataFields>
  <formats count="8">
    <format dxfId="41">
      <pivotArea field="1" type="button" dataOnly="0" labelOnly="1" outline="0" axis="axisRow" fieldPosition="0"/>
    </format>
    <format dxfId="40">
      <pivotArea dataOnly="0" labelOnly="1" outline="0" axis="axisValues" fieldPosition="0"/>
    </format>
    <format dxfId="39">
      <pivotArea field="1" type="button" dataOnly="0" labelOnly="1" outline="0" axis="axisRow" fieldPosition="0"/>
    </format>
    <format dxfId="38">
      <pivotArea dataOnly="0" labelOnly="1" outline="0" axis="axisValues" fieldPosition="0"/>
    </format>
    <format dxfId="37">
      <pivotArea collapsedLevelsAreSubtotals="1" fieldPosition="0">
        <references count="1">
          <reference field="1" count="3">
            <x v="0"/>
            <x v="1"/>
            <x v="2"/>
          </reference>
        </references>
      </pivotArea>
    </format>
    <format dxfId="36">
      <pivotArea collapsedLevelsAreSubtotals="1" fieldPosition="0">
        <references count="1">
          <reference field="1" count="3">
            <x v="3"/>
            <x v="4"/>
            <x v="5"/>
          </reference>
        </references>
      </pivotArea>
    </format>
    <format dxfId="35">
      <pivotArea collapsedLevelsAreSubtotals="1" fieldPosition="0">
        <references count="1">
          <reference field="1" count="3">
            <x v="6"/>
            <x v="7"/>
            <x v="8"/>
          </reference>
        </references>
      </pivotArea>
    </format>
    <format dxfId="34">
      <pivotArea grandRow="1"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AEFF2-7890-4E42-B09E-69864B0D5321}" name="Cajas $" cacheId="9" applyNumberFormats="0" applyBorderFormats="0" applyFontFormats="0" applyPatternFormats="0" applyAlignmentFormats="0" applyWidthHeightFormats="1" dataCaption="Valores" grandTotalCaption=" " updatedVersion="8" minRefreshableVersion="3" useAutoFormatting="1" itemPrintTitles="1" createdVersion="6" indent="0" outline="1" outlineData="1" multipleFieldFilters="0" rowHeaderCaption="Cajas $">
  <location ref="J5:K9" firstHeaderRow="1" firstDataRow="1" firstDataCol="1"/>
  <pivotFields count="4">
    <pivotField showAll="0"/>
    <pivotField axis="axisRow" multipleItemSelectionAllowed="1" showAll="0">
      <items count="11">
        <item h="1" x="3"/>
        <item h="1" x="4"/>
        <item h="1" x="5"/>
        <item x="0"/>
        <item x="1"/>
        <item x="2"/>
        <item h="1" x="6"/>
        <item h="1" x="7"/>
        <item h="1" x="8"/>
        <item h="1" m="1" x="9"/>
        <item t="default"/>
      </items>
    </pivotField>
    <pivotField showAll="0"/>
    <pivotField dataField="1" showAll="0"/>
  </pivotFields>
  <rowFields count="1">
    <field x="1"/>
  </rowFields>
  <rowItems count="4">
    <i>
      <x v="3"/>
    </i>
    <i>
      <x v="4"/>
    </i>
    <i>
      <x v="5"/>
    </i>
    <i t="grand">
      <x/>
    </i>
  </rowItems>
  <colItems count="1">
    <i/>
  </colItems>
  <dataFields count="1">
    <dataField name="Saldo Caja" fld="3" baseField="0" baseItem="0"/>
  </dataFields>
  <formats count="8">
    <format dxfId="49">
      <pivotArea field="1" type="button" dataOnly="0" labelOnly="1" outline="0" axis="axisRow" fieldPosition="0"/>
    </format>
    <format dxfId="48">
      <pivotArea dataOnly="0" labelOnly="1" outline="0" axis="axisValues" fieldPosition="0"/>
    </format>
    <format dxfId="47">
      <pivotArea field="1" type="button" dataOnly="0" labelOnly="1" outline="0" axis="axisRow" fieldPosition="0"/>
    </format>
    <format dxfId="46">
      <pivotArea dataOnly="0" labelOnly="1" outline="0" axis="axisValues" fieldPosition="0"/>
    </format>
    <format dxfId="45">
      <pivotArea collapsedLevelsAreSubtotals="1" fieldPosition="0">
        <references count="1">
          <reference field="1" count="3">
            <x v="0"/>
            <x v="1"/>
            <x v="2"/>
          </reference>
        </references>
      </pivotArea>
    </format>
    <format dxfId="44">
      <pivotArea collapsedLevelsAreSubtotals="1" fieldPosition="0">
        <references count="1">
          <reference field="1" count="3">
            <x v="3"/>
            <x v="4"/>
            <x v="5"/>
          </reference>
        </references>
      </pivotArea>
    </format>
    <format dxfId="43">
      <pivotArea collapsedLevelsAreSubtotals="1" fieldPosition="0">
        <references count="1">
          <reference field="1" count="3">
            <x v="6"/>
            <x v="7"/>
            <x v="8"/>
          </reference>
        </references>
      </pivotArea>
    </format>
    <format dxfId="42">
      <pivotArea grandRow="1"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33DFC5-6ABF-4532-A0B6-B3B7365BDFFB}" name="Cajas R$" cacheId="9" applyNumberFormats="0" applyBorderFormats="0" applyFontFormats="0" applyPatternFormats="0" applyAlignmentFormats="0" applyWidthHeightFormats="1" dataCaption="Valores" grandTotalCaption=" " updatedVersion="8" minRefreshableVersion="3" useAutoFormatting="1" itemPrintTitles="1" createdVersion="6" indent="0" outline="1" outlineData="1" multipleFieldFilters="0" rowHeaderCaption="Cajas R$">
  <location ref="J11:K15" firstHeaderRow="1" firstDataRow="1" firstDataCol="1"/>
  <pivotFields count="4">
    <pivotField showAll="0"/>
    <pivotField axis="axisRow" multipleItemSelectionAllowed="1" showAll="0">
      <items count="11">
        <item x="3"/>
        <item x="4"/>
        <item x="5"/>
        <item h="1" x="0"/>
        <item h="1" x="1"/>
        <item h="1" x="2"/>
        <item h="1" x="6"/>
        <item h="1" x="7"/>
        <item h="1" x="8"/>
        <item h="1" m="1" x="9"/>
        <item t="default"/>
      </items>
    </pivotField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aldo Caja" fld="3" baseField="0" baseItem="0"/>
  </dataFields>
  <formats count="12">
    <format dxfId="61">
      <pivotArea field="1" type="button" dataOnly="0" labelOnly="1" outline="0" axis="axisRow" fieldPosition="0"/>
    </format>
    <format dxfId="60">
      <pivotArea dataOnly="0" labelOnly="1" outline="0" axis="axisValues" fieldPosition="0"/>
    </format>
    <format dxfId="59">
      <pivotArea field="1" type="button" dataOnly="0" labelOnly="1" outline="0" axis="axisRow" fieldPosition="0"/>
    </format>
    <format dxfId="58">
      <pivotArea dataOnly="0" labelOnly="1" outline="0" axis="axisValues" fieldPosition="0"/>
    </format>
    <format dxfId="57">
      <pivotArea collapsedLevelsAreSubtotals="1" fieldPosition="0">
        <references count="1">
          <reference field="1" count="3">
            <x v="0"/>
            <x v="1"/>
            <x v="2"/>
          </reference>
        </references>
      </pivotArea>
    </format>
    <format dxfId="56">
      <pivotArea collapsedLevelsAreSubtotals="1" fieldPosition="0">
        <references count="1">
          <reference field="1" count="3">
            <x v="3"/>
            <x v="4"/>
            <x v="5"/>
          </reference>
        </references>
      </pivotArea>
    </format>
    <format dxfId="55">
      <pivotArea collapsedLevelsAreSubtotals="1" fieldPosition="0">
        <references count="1">
          <reference field="1" count="3">
            <x v="6"/>
            <x v="7"/>
            <x v="8"/>
          </reference>
        </references>
      </pivotArea>
    </format>
    <format dxfId="54">
      <pivotArea grandRow="1" outline="0" collapsedLevelsAreSubtotals="1" fieldPosition="0"/>
    </format>
    <format dxfId="53">
      <pivotArea collapsedLevelsAreSubtotals="1" fieldPosition="0">
        <references count="1">
          <reference field="1" count="1">
            <x v="0"/>
          </reference>
        </references>
      </pivotArea>
    </format>
    <format dxfId="52">
      <pivotArea collapsedLevelsAreSubtotals="1" fieldPosition="0">
        <references count="1">
          <reference field="1" count="1">
            <x v="1"/>
          </reference>
        </references>
      </pivotArea>
    </format>
    <format dxfId="51">
      <pivotArea collapsedLevelsAreSubtotals="1" fieldPosition="0">
        <references count="1">
          <reference field="1" count="1">
            <x v="2"/>
          </reference>
        </references>
      </pivotArea>
    </format>
    <format dxfId="50">
      <pivotArea grandRow="1"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FA23B-FB60-4356-A02C-35F9CC012A38}" name="TablaDiná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M5:M6" firstHeaderRow="1" firstDataRow="1" firstDataCol="0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Inventario" fld="10" baseField="0" baseItem="2096374688" numFmtId="44"/>
  </dataFields>
  <formats count="10"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outline="0" axis="axisValues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outline="0" axis="axisValues" fieldPosition="0"/>
    </format>
    <format dxfId="62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lientes5" displayName="Clientes5" ref="A1:D4" totalsRowShown="0" headerRowDxfId="5" dataDxfId="4">
  <autoFilter ref="A1:D4" xr:uid="{00000000-0009-0000-0100-000005000000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3:D4">
    <sortCondition ref="B3"/>
  </sortState>
  <tableColumns count="4">
    <tableColumn id="1" xr3:uid="{00000000-0010-0000-0000-000001000000}" name="ID" dataDxfId="3"/>
    <tableColumn id="2" xr3:uid="{00000000-0010-0000-0000-000002000000}" name="Nombre" dataDxfId="2"/>
    <tableColumn id="3" xr3:uid="{00000000-0010-0000-0000-000003000000}" name="Usuario" dataDxfId="1"/>
    <tableColumn id="4" xr3:uid="{00000000-0010-0000-0000-000004000000}" name="Contraseñ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2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8EC3D-B5C6-4AAA-AD25-1441D9C021EA}">
  <sheetPr codeName="Hoja1"/>
  <dimension ref="A1"/>
  <sheetViews>
    <sheetView showGridLines="0" workbookViewId="0">
      <selection activeCell="BD22" sqref="BD22"/>
    </sheetView>
  </sheetViews>
  <sheetFormatPr defaultColWidth="11.19921875" defaultRowHeight="15.6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60"/>
  <sheetViews>
    <sheetView showGridLines="0" tabSelected="1" zoomScaleNormal="100" workbookViewId="0">
      <selection activeCell="D29" sqref="D29"/>
    </sheetView>
  </sheetViews>
  <sheetFormatPr defaultColWidth="11" defaultRowHeight="15.6" x14ac:dyDescent="0.3"/>
  <cols>
    <col min="1" max="1" width="3" style="3" customWidth="1"/>
    <col min="2" max="2" width="14.59765625" style="3" bestFit="1" customWidth="1"/>
    <col min="3" max="3" width="8.796875" style="3" bestFit="1" customWidth="1"/>
    <col min="4" max="4" width="13.3984375" style="3" bestFit="1" customWidth="1"/>
    <col min="5" max="5" width="10.5" style="3" bestFit="1" customWidth="1"/>
    <col min="6" max="6" width="11.796875" style="3" bestFit="1" customWidth="1"/>
    <col min="7" max="7" width="11.59765625" style="3" bestFit="1" customWidth="1"/>
    <col min="8" max="8" width="8.796875" style="3" bestFit="1" customWidth="1"/>
    <col min="9" max="9" width="4.09765625" style="3" customWidth="1"/>
    <col min="10" max="10" width="14.59765625" style="3" bestFit="1" customWidth="1"/>
    <col min="11" max="11" width="12.19921875" style="3" bestFit="1" customWidth="1"/>
    <col min="12" max="12" width="2.69921875" style="3" customWidth="1"/>
    <col min="13" max="13" width="10.296875" style="3" bestFit="1" customWidth="1"/>
    <col min="14" max="14" width="12.8984375" style="3" bestFit="1" customWidth="1"/>
    <col min="15" max="15" width="15.09765625" style="3" bestFit="1" customWidth="1"/>
    <col min="16" max="16" width="1.3984375" style="3" bestFit="1" customWidth="1"/>
    <col min="17" max="17" width="5.8984375" style="3" bestFit="1" customWidth="1"/>
    <col min="18" max="18" width="14.69921875" style="3" bestFit="1" customWidth="1"/>
    <col min="19" max="19" width="12.5" style="3" bestFit="1" customWidth="1"/>
    <col min="20" max="20" width="15.09765625" style="3" bestFit="1" customWidth="1"/>
    <col min="21" max="21" width="12" style="3" bestFit="1" customWidth="1"/>
    <col min="22" max="16384" width="11" style="3"/>
  </cols>
  <sheetData>
    <row r="1" spans="2:21" ht="14.25" customHeight="1" x14ac:dyDescent="0.3"/>
    <row r="2" spans="2:21" x14ac:dyDescent="0.3">
      <c r="B2" s="1" t="s">
        <v>36</v>
      </c>
      <c r="E2" s="25" t="s">
        <v>55</v>
      </c>
      <c r="F2" s="25"/>
      <c r="G2" s="25"/>
      <c r="J2" s="16" t="s">
        <v>37</v>
      </c>
      <c r="K2" s="1" t="s">
        <v>38</v>
      </c>
      <c r="L2" s="2"/>
      <c r="M2" s="2"/>
    </row>
    <row r="3" spans="2:21" x14ac:dyDescent="0.3">
      <c r="B3" s="22">
        <f>GETPIVOTDATA("Importe Precio",$M$5)+GETPIVOTDATA("Saldo",$J$5)+GETPIVOTDATA("Deuda",$B$5)+(GETPIVOTDATA("Saldo",$J$11)/$J$3)+(GETPIVOTDATA("Saldo",$J$17)/$K$3)</f>
        <v>4279.1021831807338</v>
      </c>
      <c r="E3" s="1" t="str">
        <f>IF([1]Correlativos!$F$2&gt;0, [1]Correlativos!$F$2, "")</f>
        <v>PGO-CSN</v>
      </c>
      <c r="F3" s="24">
        <f>IF([1]Correlativos!$G$2&gt;0, [1]Correlativos!$G$2, "")</f>
        <v>43913</v>
      </c>
      <c r="G3" s="1" t="str">
        <f>IF([1]Correlativos!$H$2&gt;0, [1]Correlativos!$H$2, "")</f>
        <v>Alfonzo</v>
      </c>
      <c r="J3" s="19">
        <v>4.5</v>
      </c>
      <c r="K3" s="15">
        <v>1</v>
      </c>
      <c r="L3" s="2"/>
      <c r="M3" s="2"/>
    </row>
    <row r="4" spans="2:21" x14ac:dyDescent="0.3">
      <c r="F4" s="23"/>
      <c r="J4" s="2"/>
      <c r="K4" s="2"/>
      <c r="L4" s="2"/>
      <c r="M4" s="2"/>
    </row>
    <row r="5" spans="2:21" x14ac:dyDescent="0.3">
      <c r="B5" s="26" t="s">
        <v>20</v>
      </c>
      <c r="C5" s="27" t="s">
        <v>19</v>
      </c>
      <c r="D5" s="28" t="s">
        <v>18</v>
      </c>
      <c r="E5" s="28" t="s">
        <v>39</v>
      </c>
      <c r="F5" s="28" t="s">
        <v>40</v>
      </c>
      <c r="G5" s="28" t="s">
        <v>41</v>
      </c>
      <c r="H5" s="28" t="s">
        <v>42</v>
      </c>
      <c r="I5"/>
      <c r="J5" s="10" t="s">
        <v>33</v>
      </c>
      <c r="K5" s="3" t="s">
        <v>31</v>
      </c>
      <c r="M5" s="12" t="s">
        <v>35</v>
      </c>
      <c r="N5"/>
      <c r="O5"/>
    </row>
    <row r="6" spans="2:21" x14ac:dyDescent="0.3">
      <c r="B6" s="29" t="s">
        <v>2</v>
      </c>
      <c r="C6" s="30">
        <v>91.52999967575073</v>
      </c>
      <c r="D6" s="31">
        <v>0</v>
      </c>
      <c r="E6" s="31">
        <v>0</v>
      </c>
      <c r="F6" s="34">
        <v>0</v>
      </c>
      <c r="G6" s="33">
        <v>0</v>
      </c>
      <c r="H6" s="30">
        <v>91.52999967575073</v>
      </c>
      <c r="I6" s="2"/>
      <c r="J6" s="8" t="s">
        <v>25</v>
      </c>
      <c r="K6" s="9">
        <v>0</v>
      </c>
      <c r="M6" s="17">
        <v>715.46288461538461</v>
      </c>
      <c r="N6"/>
    </row>
    <row r="7" spans="2:21" x14ac:dyDescent="0.3">
      <c r="B7" s="29" t="s">
        <v>45</v>
      </c>
      <c r="C7" s="30">
        <v>18.680001602172865</v>
      </c>
      <c r="D7" s="31">
        <v>0</v>
      </c>
      <c r="E7" s="31">
        <v>0</v>
      </c>
      <c r="F7" s="32">
        <v>0</v>
      </c>
      <c r="G7" s="33">
        <v>0</v>
      </c>
      <c r="H7" s="30">
        <v>18.680001602172865</v>
      </c>
      <c r="I7" s="2"/>
      <c r="J7" s="8" t="s">
        <v>26</v>
      </c>
      <c r="K7" s="9">
        <v>1988.0168662926553</v>
      </c>
      <c r="M7"/>
      <c r="N7"/>
      <c r="O7"/>
    </row>
    <row r="8" spans="2:21" x14ac:dyDescent="0.3">
      <c r="B8" s="29" t="s">
        <v>46</v>
      </c>
      <c r="C8" s="30">
        <v>0</v>
      </c>
      <c r="D8" s="31">
        <v>4.3491666666666671</v>
      </c>
      <c r="E8" s="31">
        <v>0</v>
      </c>
      <c r="F8" s="32">
        <v>0</v>
      </c>
      <c r="G8" s="33">
        <v>0</v>
      </c>
      <c r="H8" s="30">
        <v>4.3491666666666671</v>
      </c>
      <c r="I8" s="2"/>
      <c r="J8" s="8" t="s">
        <v>27</v>
      </c>
      <c r="K8" s="9">
        <v>315</v>
      </c>
      <c r="L8" s="12"/>
      <c r="M8"/>
      <c r="N8"/>
      <c r="P8" s="6"/>
    </row>
    <row r="9" spans="2:21" x14ac:dyDescent="0.3">
      <c r="B9" s="29" t="s">
        <v>47</v>
      </c>
      <c r="C9" s="30">
        <v>0</v>
      </c>
      <c r="D9" s="31">
        <v>84.890641025641017</v>
      </c>
      <c r="E9" s="31">
        <v>0</v>
      </c>
      <c r="F9" s="32">
        <v>0</v>
      </c>
      <c r="G9" s="33">
        <v>0</v>
      </c>
      <c r="H9" s="30">
        <v>84.890641025641017</v>
      </c>
      <c r="I9"/>
      <c r="J9" s="8" t="s">
        <v>21</v>
      </c>
      <c r="K9" s="9">
        <v>2303.0168662926553</v>
      </c>
      <c r="L9" s="12"/>
      <c r="M9"/>
      <c r="N9"/>
      <c r="O9"/>
      <c r="P9" s="3" t="s">
        <v>21</v>
      </c>
    </row>
    <row r="10" spans="2:21" ht="13.5" customHeight="1" x14ac:dyDescent="0.3">
      <c r="B10" s="29" t="s">
        <v>48</v>
      </c>
      <c r="C10" s="30">
        <v>11</v>
      </c>
      <c r="D10" s="31">
        <v>0</v>
      </c>
      <c r="E10" s="31">
        <v>0</v>
      </c>
      <c r="F10" s="32">
        <v>0</v>
      </c>
      <c r="G10" s="33">
        <v>0</v>
      </c>
      <c r="H10" s="30">
        <v>11</v>
      </c>
      <c r="I10"/>
      <c r="J10" s="7"/>
      <c r="K10" s="7"/>
      <c r="L10" s="10"/>
      <c r="M10"/>
      <c r="N10"/>
      <c r="O10"/>
      <c r="P10" s="2"/>
    </row>
    <row r="11" spans="2:21" x14ac:dyDescent="0.3">
      <c r="B11" s="29" t="s">
        <v>15</v>
      </c>
      <c r="C11" s="30">
        <v>93.159999815821649</v>
      </c>
      <c r="D11" s="31">
        <v>0</v>
      </c>
      <c r="E11" s="31">
        <v>0</v>
      </c>
      <c r="F11" s="32">
        <v>0</v>
      </c>
      <c r="G11" s="33">
        <v>0</v>
      </c>
      <c r="H11" s="30">
        <v>93.159999815821649</v>
      </c>
      <c r="I11"/>
      <c r="J11" s="10" t="s">
        <v>32</v>
      </c>
      <c r="K11" s="3" t="s">
        <v>31</v>
      </c>
      <c r="L11"/>
      <c r="M11" s="21"/>
      <c r="N11"/>
      <c r="O11"/>
      <c r="P11" s="13"/>
    </row>
    <row r="12" spans="2:21" x14ac:dyDescent="0.3">
      <c r="B12" s="29" t="s">
        <v>43</v>
      </c>
      <c r="C12" s="30">
        <v>3.85</v>
      </c>
      <c r="D12" s="31">
        <v>0</v>
      </c>
      <c r="E12" s="31">
        <v>0</v>
      </c>
      <c r="F12" s="32">
        <v>0</v>
      </c>
      <c r="G12" s="33">
        <v>0</v>
      </c>
      <c r="H12" s="30">
        <v>3.85</v>
      </c>
      <c r="I12"/>
      <c r="J12" s="8" t="s">
        <v>22</v>
      </c>
      <c r="K12" s="18">
        <v>0</v>
      </c>
      <c r="M12"/>
      <c r="N12"/>
      <c r="O12"/>
      <c r="P12"/>
      <c r="S12"/>
      <c r="T12"/>
      <c r="U12"/>
    </row>
    <row r="13" spans="2:21" x14ac:dyDescent="0.3">
      <c r="B13" s="29" t="s">
        <v>44</v>
      </c>
      <c r="C13" s="30">
        <v>3</v>
      </c>
      <c r="D13" s="31">
        <v>0</v>
      </c>
      <c r="E13" s="31">
        <v>0</v>
      </c>
      <c r="F13" s="32">
        <v>0</v>
      </c>
      <c r="G13" s="33">
        <v>0</v>
      </c>
      <c r="H13" s="30">
        <v>3</v>
      </c>
      <c r="J13" s="8" t="s">
        <v>23</v>
      </c>
      <c r="K13" s="18">
        <v>0</v>
      </c>
      <c r="M13"/>
      <c r="N13"/>
      <c r="O13"/>
      <c r="P13"/>
      <c r="S13"/>
      <c r="T13"/>
      <c r="U13"/>
    </row>
    <row r="14" spans="2:21" x14ac:dyDescent="0.3">
      <c r="B14" s="29" t="s">
        <v>49</v>
      </c>
      <c r="C14" s="30">
        <v>40.72</v>
      </c>
      <c r="D14" s="31">
        <v>0</v>
      </c>
      <c r="E14" s="31">
        <v>0</v>
      </c>
      <c r="F14" s="32">
        <v>0</v>
      </c>
      <c r="G14" s="33">
        <v>0</v>
      </c>
      <c r="H14" s="30">
        <v>40.72</v>
      </c>
      <c r="J14" s="8" t="s">
        <v>24</v>
      </c>
      <c r="K14" s="18">
        <v>2402.0000762939453</v>
      </c>
      <c r="M14"/>
      <c r="N14"/>
      <c r="O14"/>
      <c r="P14"/>
      <c r="S14"/>
      <c r="T14"/>
      <c r="U14"/>
    </row>
    <row r="15" spans="2:21" x14ac:dyDescent="0.3">
      <c r="B15" s="29" t="s">
        <v>50</v>
      </c>
      <c r="C15" s="30">
        <v>0</v>
      </c>
      <c r="D15" s="31">
        <v>0.70333333333333325</v>
      </c>
      <c r="E15" s="31">
        <v>0</v>
      </c>
      <c r="F15" s="32">
        <v>0</v>
      </c>
      <c r="G15" s="33">
        <v>0</v>
      </c>
      <c r="H15" s="30">
        <v>0.70333333333333325</v>
      </c>
      <c r="J15" s="8" t="s">
        <v>21</v>
      </c>
      <c r="K15" s="18">
        <v>2402.0000762939453</v>
      </c>
      <c r="M15"/>
      <c r="N15"/>
      <c r="O15"/>
      <c r="P15"/>
      <c r="S15"/>
    </row>
    <row r="16" spans="2:21" x14ac:dyDescent="0.3">
      <c r="B16" s="29" t="s">
        <v>56</v>
      </c>
      <c r="C16" s="30">
        <v>62.5</v>
      </c>
      <c r="D16" s="31">
        <v>0</v>
      </c>
      <c r="E16" s="31">
        <v>0</v>
      </c>
      <c r="F16" s="32">
        <v>0</v>
      </c>
      <c r="G16" s="33">
        <v>0</v>
      </c>
      <c r="H16" s="30">
        <v>62.5</v>
      </c>
      <c r="J16"/>
      <c r="K16"/>
      <c r="M16"/>
      <c r="N16"/>
      <c r="O16"/>
    </row>
    <row r="17" spans="2:16" x14ac:dyDescent="0.3">
      <c r="B17" s="29" t="s">
        <v>51</v>
      </c>
      <c r="C17" s="30">
        <v>0.72</v>
      </c>
      <c r="D17" s="31">
        <v>0</v>
      </c>
      <c r="E17" s="31">
        <v>0</v>
      </c>
      <c r="F17" s="32">
        <v>0</v>
      </c>
      <c r="G17" s="33">
        <v>0</v>
      </c>
      <c r="H17" s="30">
        <v>0.72</v>
      </c>
      <c r="J17" s="10" t="s">
        <v>34</v>
      </c>
      <c r="K17" s="3" t="s">
        <v>31</v>
      </c>
      <c r="L17" s="2"/>
      <c r="M17"/>
      <c r="N17"/>
      <c r="O17"/>
    </row>
    <row r="18" spans="2:16" x14ac:dyDescent="0.3">
      <c r="B18" s="29" t="s">
        <v>52</v>
      </c>
      <c r="C18" s="30">
        <v>0</v>
      </c>
      <c r="D18" s="31">
        <v>0</v>
      </c>
      <c r="E18" s="31">
        <v>0</v>
      </c>
      <c r="F18" s="32">
        <v>95</v>
      </c>
      <c r="G18" s="33">
        <v>0</v>
      </c>
      <c r="H18" s="30">
        <v>21.111111111111111</v>
      </c>
      <c r="J18" s="8" t="s">
        <v>28</v>
      </c>
      <c r="K18" s="11">
        <v>0</v>
      </c>
      <c r="M18"/>
      <c r="N18"/>
      <c r="O18"/>
    </row>
    <row r="19" spans="2:16" x14ac:dyDescent="0.3">
      <c r="B19" s="29" t="s">
        <v>53</v>
      </c>
      <c r="C19" s="30">
        <v>0</v>
      </c>
      <c r="D19" s="31">
        <v>161.56038461538463</v>
      </c>
      <c r="E19" s="31">
        <v>0</v>
      </c>
      <c r="F19" s="32">
        <v>0</v>
      </c>
      <c r="G19" s="33">
        <v>0</v>
      </c>
      <c r="H19" s="30">
        <v>161.56038461538463</v>
      </c>
      <c r="J19" s="8" t="s">
        <v>29</v>
      </c>
      <c r="K19" s="11">
        <v>0</v>
      </c>
      <c r="M19"/>
      <c r="N19"/>
      <c r="O19"/>
    </row>
    <row r="20" spans="2:16" x14ac:dyDescent="0.3">
      <c r="B20" s="29" t="s">
        <v>54</v>
      </c>
      <c r="C20" s="30">
        <v>60.319999694824219</v>
      </c>
      <c r="D20" s="31">
        <v>0</v>
      </c>
      <c r="E20" s="31">
        <v>0</v>
      </c>
      <c r="F20" s="32">
        <v>0</v>
      </c>
      <c r="G20" s="33">
        <v>0</v>
      </c>
      <c r="H20" s="30">
        <v>60.319999694824219</v>
      </c>
      <c r="J20" s="8" t="s">
        <v>30</v>
      </c>
      <c r="K20" s="11">
        <v>0</v>
      </c>
      <c r="M20"/>
      <c r="N20"/>
      <c r="O20"/>
    </row>
    <row r="21" spans="2:16" x14ac:dyDescent="0.3">
      <c r="B21" s="29" t="s">
        <v>57</v>
      </c>
      <c r="C21" s="30">
        <v>68.75</v>
      </c>
      <c r="D21" s="31">
        <v>0</v>
      </c>
      <c r="E21" s="31">
        <v>0</v>
      </c>
      <c r="F21" s="32">
        <v>0</v>
      </c>
      <c r="G21" s="33">
        <v>0</v>
      </c>
      <c r="H21" s="30">
        <v>68.75</v>
      </c>
      <c r="J21" s="8" t="s">
        <v>21</v>
      </c>
      <c r="K21" s="11">
        <v>0</v>
      </c>
      <c r="M21"/>
      <c r="N21"/>
      <c r="O21"/>
    </row>
    <row r="22" spans="2:16" x14ac:dyDescent="0.3">
      <c r="B22" s="29" t="s">
        <v>21</v>
      </c>
      <c r="C22" s="30">
        <v>454.2300007885695</v>
      </c>
      <c r="D22" s="31">
        <v>251.50352564102565</v>
      </c>
      <c r="E22" s="31">
        <v>0</v>
      </c>
      <c r="F22" s="34">
        <v>95</v>
      </c>
      <c r="G22" s="33">
        <v>0</v>
      </c>
      <c r="H22" s="30">
        <v>726.84463754070623</v>
      </c>
      <c r="J22"/>
      <c r="K22" s="14"/>
      <c r="M22"/>
      <c r="N22"/>
      <c r="O22"/>
    </row>
    <row r="23" spans="2:16" x14ac:dyDescent="0.3">
      <c r="B23"/>
      <c r="C23"/>
      <c r="D23"/>
      <c r="E23"/>
      <c r="F23"/>
      <c r="G23"/>
      <c r="H23"/>
      <c r="K23"/>
      <c r="M23"/>
      <c r="N23"/>
      <c r="P23"/>
    </row>
    <row r="24" spans="2:16" x14ac:dyDescent="0.3">
      <c r="D24"/>
      <c r="E24"/>
      <c r="F24"/>
      <c r="G24"/>
      <c r="J24"/>
      <c r="K24"/>
      <c r="M24"/>
      <c r="N24"/>
      <c r="P24"/>
    </row>
    <row r="25" spans="2:16" x14ac:dyDescent="0.3">
      <c r="D25"/>
      <c r="E25"/>
      <c r="F25"/>
      <c r="G25"/>
      <c r="H25" s="20"/>
      <c r="J25"/>
      <c r="K25"/>
      <c r="M25"/>
      <c r="N25"/>
      <c r="P25"/>
    </row>
    <row r="26" spans="2:16" x14ac:dyDescent="0.3">
      <c r="D26"/>
      <c r="E26"/>
      <c r="F26"/>
      <c r="G26"/>
      <c r="J26"/>
      <c r="K26"/>
      <c r="M26"/>
      <c r="N26" s="7"/>
      <c r="P26"/>
    </row>
    <row r="27" spans="2:16" x14ac:dyDescent="0.3">
      <c r="D27"/>
      <c r="E27"/>
      <c r="F27"/>
      <c r="G27"/>
      <c r="J27"/>
      <c r="K27"/>
      <c r="N27"/>
      <c r="P27"/>
    </row>
    <row r="28" spans="2:16" x14ac:dyDescent="0.3">
      <c r="D28"/>
      <c r="E28"/>
      <c r="F28"/>
      <c r="G28"/>
      <c r="J28"/>
      <c r="K28"/>
      <c r="N28"/>
      <c r="P28"/>
    </row>
    <row r="29" spans="2:16" x14ac:dyDescent="0.3">
      <c r="D29"/>
      <c r="E29"/>
      <c r="F29"/>
      <c r="G29"/>
      <c r="J29"/>
      <c r="K29"/>
      <c r="N29"/>
      <c r="P29"/>
    </row>
    <row r="30" spans="2:16" x14ac:dyDescent="0.3">
      <c r="D30"/>
      <c r="E30"/>
      <c r="F30"/>
      <c r="G30"/>
      <c r="J30"/>
      <c r="K30"/>
      <c r="N30"/>
      <c r="P30"/>
    </row>
    <row r="31" spans="2:16" x14ac:dyDescent="0.3">
      <c r="D31"/>
      <c r="E31"/>
      <c r="F31"/>
      <c r="G31"/>
      <c r="J31"/>
      <c r="K31"/>
      <c r="N31"/>
      <c r="P31"/>
    </row>
    <row r="32" spans="2:16" x14ac:dyDescent="0.3">
      <c r="D32"/>
      <c r="E32"/>
      <c r="F32"/>
      <c r="G32"/>
      <c r="J32"/>
      <c r="K32"/>
      <c r="P32"/>
    </row>
    <row r="33" spans="10:16" x14ac:dyDescent="0.3">
      <c r="J33"/>
      <c r="K33"/>
      <c r="P33"/>
    </row>
    <row r="34" spans="10:16" x14ac:dyDescent="0.3">
      <c r="J34"/>
      <c r="K34"/>
      <c r="P34"/>
    </row>
    <row r="35" spans="10:16" x14ac:dyDescent="0.3">
      <c r="J35"/>
      <c r="K35"/>
      <c r="P35"/>
    </row>
    <row r="36" spans="10:16" x14ac:dyDescent="0.3">
      <c r="J36"/>
      <c r="K36"/>
      <c r="P36"/>
    </row>
    <row r="37" spans="10:16" x14ac:dyDescent="0.3">
      <c r="J37"/>
      <c r="K37"/>
      <c r="P37"/>
    </row>
    <row r="38" spans="10:16" x14ac:dyDescent="0.3">
      <c r="J38"/>
      <c r="K38"/>
      <c r="P38"/>
    </row>
    <row r="39" spans="10:16" x14ac:dyDescent="0.3">
      <c r="J39"/>
      <c r="K39"/>
      <c r="P39"/>
    </row>
    <row r="40" spans="10:16" x14ac:dyDescent="0.3">
      <c r="J40"/>
      <c r="K40"/>
      <c r="P40"/>
    </row>
    <row r="41" spans="10:16" x14ac:dyDescent="0.3">
      <c r="J41"/>
      <c r="K41"/>
    </row>
    <row r="42" spans="10:16" x14ac:dyDescent="0.3">
      <c r="J42"/>
      <c r="K42"/>
    </row>
    <row r="43" spans="10:16" x14ac:dyDescent="0.3">
      <c r="J43"/>
      <c r="K43"/>
    </row>
    <row r="44" spans="10:16" x14ac:dyDescent="0.3">
      <c r="J44"/>
      <c r="K44"/>
    </row>
    <row r="45" spans="10:16" x14ac:dyDescent="0.3">
      <c r="J45"/>
      <c r="K45"/>
    </row>
    <row r="46" spans="10:16" x14ac:dyDescent="0.3">
      <c r="J46"/>
      <c r="K46"/>
    </row>
    <row r="47" spans="10:16" x14ac:dyDescent="0.3">
      <c r="J47"/>
      <c r="K47"/>
    </row>
    <row r="48" spans="10:16" x14ac:dyDescent="0.3">
      <c r="J48"/>
      <c r="K48"/>
    </row>
    <row r="49" spans="1:11" x14ac:dyDescent="0.3">
      <c r="J49"/>
      <c r="K49"/>
    </row>
    <row r="50" spans="1:11" x14ac:dyDescent="0.3">
      <c r="J50"/>
      <c r="K50"/>
    </row>
    <row r="53" spans="1:11" x14ac:dyDescent="0.3">
      <c r="A53" s="23"/>
    </row>
    <row r="54" spans="1:11" x14ac:dyDescent="0.3">
      <c r="A54" s="23"/>
    </row>
    <row r="55" spans="1:11" x14ac:dyDescent="0.3">
      <c r="A55" s="23"/>
    </row>
    <row r="56" spans="1:11" x14ac:dyDescent="0.3">
      <c r="A56" s="23"/>
    </row>
    <row r="57" spans="1:11" x14ac:dyDescent="0.3">
      <c r="A57" s="23"/>
    </row>
    <row r="58" spans="1:11" x14ac:dyDescent="0.3">
      <c r="A58" s="23"/>
    </row>
    <row r="59" spans="1:11" x14ac:dyDescent="0.3">
      <c r="A59" s="23"/>
    </row>
    <row r="60" spans="1:11" x14ac:dyDescent="0.3">
      <c r="A60" s="23"/>
    </row>
  </sheetData>
  <mergeCells count="1">
    <mergeCell ref="E2:G2"/>
  </mergeCell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BotonMenu">
                <anchor moveWithCells="1" sizeWithCells="1">
                  <from>
                    <xdr:col>11</xdr:col>
                    <xdr:colOff>152400</xdr:colOff>
                    <xdr:row>0</xdr:row>
                    <xdr:rowOff>175260</xdr:rowOff>
                  </from>
                  <to>
                    <xdr:col>13</xdr:col>
                    <xdr:colOff>403860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ActualizarDashboard">
                <anchor moveWithCells="1" sizeWithCells="1">
                  <from>
                    <xdr:col>2</xdr:col>
                    <xdr:colOff>7620</xdr:colOff>
                    <xdr:row>1</xdr:row>
                    <xdr:rowOff>175260</xdr:rowOff>
                  </from>
                  <to>
                    <xdr:col>3</xdr:col>
                    <xdr:colOff>182880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D4"/>
  <sheetViews>
    <sheetView workbookViewId="0">
      <selection activeCell="J8" sqref="J8"/>
    </sheetView>
  </sheetViews>
  <sheetFormatPr defaultColWidth="11.19921875" defaultRowHeight="15.6" x14ac:dyDescent="0.3"/>
  <cols>
    <col min="2" max="2" width="14" bestFit="1" customWidth="1"/>
    <col min="3" max="3" width="7.59765625" bestFit="1" customWidth="1"/>
    <col min="4" max="4" width="10.5" bestFit="1" customWidth="1"/>
  </cols>
  <sheetData>
    <row r="1" spans="1:4" x14ac:dyDescent="0.3">
      <c r="A1" s="3" t="s">
        <v>5</v>
      </c>
      <c r="B1" s="3" t="s">
        <v>4</v>
      </c>
      <c r="C1" s="3" t="s">
        <v>6</v>
      </c>
      <c r="D1" s="3" t="s">
        <v>7</v>
      </c>
    </row>
    <row r="2" spans="1:4" x14ac:dyDescent="0.3">
      <c r="A2" s="3" t="s">
        <v>1</v>
      </c>
      <c r="B2" s="4" t="s">
        <v>0</v>
      </c>
      <c r="C2" s="3" t="s">
        <v>8</v>
      </c>
      <c r="D2" s="3">
        <v>290672</v>
      </c>
    </row>
    <row r="3" spans="1:4" x14ac:dyDescent="0.3">
      <c r="A3" s="3" t="s">
        <v>16</v>
      </c>
      <c r="B3" s="4" t="s">
        <v>15</v>
      </c>
      <c r="C3" s="3" t="s">
        <v>14</v>
      </c>
      <c r="D3" s="3">
        <v>123</v>
      </c>
    </row>
    <row r="4" spans="1:4" x14ac:dyDescent="0.3">
      <c r="A4" s="3" t="s">
        <v>3</v>
      </c>
      <c r="B4" s="4" t="s">
        <v>2</v>
      </c>
      <c r="C4" s="3" t="s">
        <v>17</v>
      </c>
      <c r="D4" s="3">
        <v>486952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5"/>
  <sheetViews>
    <sheetView workbookViewId="0">
      <selection activeCell="B4" sqref="B4"/>
    </sheetView>
  </sheetViews>
  <sheetFormatPr defaultColWidth="11.19921875" defaultRowHeight="15.6" x14ac:dyDescent="0.3"/>
  <cols>
    <col min="1" max="1" width="8.3984375" customWidth="1"/>
    <col min="2" max="2" width="16" customWidth="1"/>
  </cols>
  <sheetData>
    <row r="1" spans="1:3" x14ac:dyDescent="0.3">
      <c r="A1" s="25" t="s">
        <v>9</v>
      </c>
      <c r="B1" s="25"/>
      <c r="C1" s="25"/>
    </row>
    <row r="2" spans="1:3" x14ac:dyDescent="0.3">
      <c r="A2" s="5" t="s">
        <v>10</v>
      </c>
      <c r="B2" s="1" t="s">
        <v>2</v>
      </c>
      <c r="C2" s="25"/>
    </row>
    <row r="3" spans="1:3" x14ac:dyDescent="0.3">
      <c r="A3" s="5" t="s">
        <v>11</v>
      </c>
      <c r="B3" s="1" t="s">
        <v>3</v>
      </c>
      <c r="C3" s="25"/>
    </row>
    <row r="4" spans="1:3" x14ac:dyDescent="0.3">
      <c r="A4" s="5" t="s">
        <v>12</v>
      </c>
      <c r="B4" s="1" t="s">
        <v>17</v>
      </c>
      <c r="C4" s="25"/>
    </row>
    <row r="5" spans="1:3" x14ac:dyDescent="0.3">
      <c r="A5" s="5" t="s">
        <v>13</v>
      </c>
      <c r="B5" s="1" t="s">
        <v>58</v>
      </c>
      <c r="C5" s="25"/>
    </row>
  </sheetData>
  <mergeCells count="2">
    <mergeCell ref="A1:C1"/>
    <mergeCell ref="C2:C5"/>
  </mergeCells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MovimientoMercancia" Type="http://schemas.openxmlformats.org/officeDocument/2006/relationships/image" Target="images/MovimientoMercancia.png"/><Relationship Id="NuevoCliente" Type="http://schemas.openxmlformats.org/officeDocument/2006/relationships/image" Target="images/NuevoCliente.png"/><Relationship Id="VisibilidadDependencias" Type="http://schemas.openxmlformats.org/officeDocument/2006/relationships/image" Target="images/VisibilidadDependencias.png"/><Relationship Id="ModificarCliente" Type="http://schemas.openxmlformats.org/officeDocument/2006/relationships/image" Target="images/ModificarCliente.png"/><Relationship Id="Facturar" Type="http://schemas.openxmlformats.org/officeDocument/2006/relationships/image" Target="images/Facturar.png"/><Relationship Id="NuevoProducto" Type="http://schemas.openxmlformats.org/officeDocument/2006/relationships/image" Target="images/NuevoProducto.png"/><Relationship Id="Historial" Type="http://schemas.openxmlformats.org/officeDocument/2006/relationships/image" Target="images/Historial.png"/><Relationship Id="MovimientoCaja" Type="http://schemas.openxmlformats.org/officeDocument/2006/relationships/image" Target="images/MovimientoCaja.png"/><Relationship Id="CerrarSesion" Type="http://schemas.openxmlformats.org/officeDocument/2006/relationships/image" Target="images/CerrarSesion.png"/><Relationship Id="ModificarProducto" Type="http://schemas.openxmlformats.org/officeDocument/2006/relationships/image" Target="images/ModificarProducto.png"/></Relationships>
</file>

<file path=customUI/customUI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Inicio</vt:lpstr>
      <vt:lpstr>Dashboard</vt:lpstr>
      <vt:lpstr>Usuarios</vt:lpstr>
      <vt:lpstr>Gestion Interna</vt:lpstr>
      <vt:lpstr>Dashboard!Extract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Rodolfo Marsili</dc:creator>
  <cp:lastModifiedBy>Rodolfo Marsili</cp:lastModifiedBy>
  <cp:lastPrinted>2019-06-27T00:52:36Z</cp:lastPrinted>
  <dcterms:created xsi:type="dcterms:W3CDTF">2019-06-26T00:59:25Z</dcterms:created>
  <dcterms:modified xsi:type="dcterms:W3CDTF">2023-01-13T18:17:51Z</dcterms:modified>
</cp:coreProperties>
</file>